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тализация расходов" sheetId="1" r:id="rId4"/>
    <sheet state="visible" name="Итоговая сводка" sheetId="2" r:id="rId5"/>
  </sheets>
  <externalReferences>
    <externalReference r:id="rId6"/>
  </externalReferences>
  <definedNames>
    <definedName name="Подытог_за_коммунальные_услуги">'Детализация расходов'!$B$16:$M$16</definedName>
    <definedName name="Всего_Р">'Детализация расходов'!$N$2:$N$14</definedName>
    <definedName name="Расходы_Кв1">'Детализация расходов'!$B$3:$D$14</definedName>
  </definedNames>
  <calcPr/>
  <extLst>
    <ext uri="GoogleSheetsCustomDataVersion2">
      <go:sheetsCustomData xmlns:go="http://customooxmlschemas.google.com/" r:id="rId7" roundtripDataChecksum="FaMI4xd7DDgbyDhamUNEfF5x+OE2vZfPIiWIXINpLuU="/>
    </ext>
  </extLst>
</workbook>
</file>

<file path=xl/sharedStrings.xml><?xml version="1.0" encoding="utf-8"?>
<sst xmlns="http://schemas.openxmlformats.org/spreadsheetml/2006/main" count="52" uniqueCount="51">
  <si>
    <t>Расходы на жилье за 2017 г.</t>
  </si>
  <si>
    <t>Итоговая сводка по расходам на жилье</t>
  </si>
  <si>
    <t>Категория расходов</t>
  </si>
  <si>
    <r>
      <rPr>
        <rFont val="Calibri"/>
        <b/>
        <color theme="1"/>
        <sz val="11.0"/>
      </rPr>
      <t>Категория</t>
    </r>
  </si>
  <si>
    <r>
      <rPr>
        <rFont val="Calibri"/>
        <b/>
        <color theme="1"/>
        <sz val="11.0"/>
      </rPr>
      <t>Янв</t>
    </r>
  </si>
  <si>
    <r>
      <rPr>
        <rFont val="Calibri"/>
        <b/>
        <color theme="1"/>
        <sz val="11.0"/>
      </rPr>
      <t>Итоги 2017 г.</t>
    </r>
  </si>
  <si>
    <r>
      <rPr>
        <rFont val="Calibri"/>
        <b/>
        <color theme="1"/>
        <sz val="11.0"/>
      </rPr>
      <t>Фев</t>
    </r>
  </si>
  <si>
    <r>
      <rPr>
        <rFont val="Calibri"/>
        <b/>
        <color theme="1"/>
        <sz val="11.0"/>
      </rPr>
      <t>Мар</t>
    </r>
  </si>
  <si>
    <r>
      <rPr>
        <rFont val="Calibri"/>
        <b/>
        <i/>
        <color rgb="FF2E75B5"/>
        <sz val="11.0"/>
      </rPr>
      <t>Итоги 2016 г.</t>
    </r>
  </si>
  <si>
    <r>
      <rPr>
        <rFont val="Calibri"/>
        <b/>
        <color theme="1"/>
        <sz val="11.0"/>
      </rPr>
      <t>Апр</t>
    </r>
  </si>
  <si>
    <r>
      <rPr>
        <rFont val="Calibri"/>
        <b/>
        <color theme="1"/>
        <sz val="11.0"/>
      </rPr>
      <t>Май</t>
    </r>
  </si>
  <si>
    <r>
      <rPr>
        <rFont val="Calibri"/>
        <b/>
        <color theme="1"/>
        <sz val="11.0"/>
      </rPr>
      <t>Июн</t>
    </r>
  </si>
  <si>
    <r>
      <rPr>
        <rFont val="Calibri"/>
        <b/>
        <color theme="1"/>
        <sz val="11.0"/>
      </rPr>
      <t>Средний показатель за месяц, 2017 г.</t>
    </r>
  </si>
  <si>
    <r>
      <rPr>
        <rFont val="Calibri"/>
        <b/>
        <color theme="1"/>
        <sz val="11.0"/>
      </rPr>
      <t>Июл</t>
    </r>
  </si>
  <si>
    <r>
      <rPr>
        <rFont val="Calibri"/>
        <b/>
        <i/>
        <color rgb="FF2E75B5"/>
        <sz val="11.0"/>
      </rPr>
      <t>Средний показатель за месяц, 2016 г.</t>
    </r>
  </si>
  <si>
    <r>
      <rPr>
        <rFont val="Calibri"/>
        <b/>
        <color theme="1"/>
        <sz val="11.0"/>
      </rPr>
      <t>Авг</t>
    </r>
  </si>
  <si>
    <r>
      <rPr>
        <rFont val="Calibri"/>
        <b/>
        <color theme="1"/>
        <sz val="11.0"/>
      </rPr>
      <t>Сен</t>
    </r>
  </si>
  <si>
    <t>Аренда</t>
  </si>
  <si>
    <r>
      <rPr>
        <rFont val="Calibri"/>
        <b/>
        <color theme="1"/>
        <sz val="11.0"/>
      </rPr>
      <t>Окт</t>
    </r>
  </si>
  <si>
    <r>
      <rPr>
        <rFont val="Calibri"/>
        <b/>
        <color theme="1"/>
        <sz val="11.0"/>
      </rPr>
      <t>Ноя</t>
    </r>
  </si>
  <si>
    <r>
      <rPr>
        <rFont val="Calibri"/>
        <b/>
        <color theme="1"/>
        <sz val="11.0"/>
      </rPr>
      <t>Дек</t>
    </r>
  </si>
  <si>
    <r>
      <rPr>
        <rFont val="Calibri"/>
        <b/>
        <color theme="1"/>
        <sz val="11.0"/>
      </rPr>
      <t>Всего</t>
    </r>
  </si>
  <si>
    <r>
      <rPr>
        <rFont val="Calibri"/>
        <color theme="1"/>
        <sz val="11.0"/>
      </rPr>
      <t>Страховка</t>
    </r>
  </si>
  <si>
    <r>
      <rPr>
        <rFont val="Calibri"/>
        <color theme="1"/>
        <sz val="11.0"/>
      </rPr>
      <t>Страховка</t>
    </r>
  </si>
  <si>
    <r>
      <rPr>
        <rFont val="Calibri"/>
        <color theme="1"/>
        <sz val="11.0"/>
      </rPr>
      <t>Меблировка</t>
    </r>
  </si>
  <si>
    <r>
      <rPr>
        <rFont val="Calibri"/>
        <color theme="1"/>
        <sz val="11.0"/>
      </rPr>
      <t>Меблировка</t>
    </r>
  </si>
  <si>
    <r>
      <rPr>
        <rFont val="Calibri"/>
        <color theme="1"/>
        <sz val="11.0"/>
      </rPr>
      <t>Прочее</t>
    </r>
  </si>
  <si>
    <r>
      <rPr>
        <rFont val="Calibri"/>
        <color theme="1"/>
        <sz val="11.0"/>
      </rPr>
      <t>Коммунальные услуги</t>
    </r>
  </si>
  <si>
    <r>
      <rPr>
        <rFont val="Calibri"/>
        <color theme="1"/>
        <sz val="11.0"/>
      </rPr>
      <t>Электричество</t>
    </r>
  </si>
  <si>
    <r>
      <rPr>
        <rFont val="Calibri"/>
        <color theme="1"/>
        <sz val="11.0"/>
      </rPr>
      <t>Прочее</t>
    </r>
  </si>
  <si>
    <r>
      <rPr>
        <rFont val="Calibri"/>
        <color theme="1"/>
        <sz val="11.0"/>
      </rPr>
      <t>Коммунальные услуги</t>
    </r>
  </si>
  <si>
    <r>
      <rPr>
        <rFont val="Calibri"/>
        <color theme="1"/>
        <sz val="11.0"/>
      </rPr>
      <t>Электричество</t>
    </r>
  </si>
  <si>
    <r>
      <rPr>
        <rFont val="Calibri"/>
        <color theme="1"/>
        <sz val="11.0"/>
      </rPr>
      <t>Газ</t>
    </r>
  </si>
  <si>
    <r>
      <rPr>
        <rFont val="Calibri"/>
        <color theme="1"/>
        <sz val="11.0"/>
      </rPr>
      <t>Газ</t>
    </r>
  </si>
  <si>
    <r>
      <rPr>
        <rFont val="Calibri"/>
        <color theme="1"/>
        <sz val="11.0"/>
      </rPr>
      <t>Вода</t>
    </r>
  </si>
  <si>
    <r>
      <rPr>
        <rFont val="Calibri"/>
        <color theme="1"/>
        <sz val="11.0"/>
      </rPr>
      <t>Вывоз мусора</t>
    </r>
  </si>
  <si>
    <r>
      <rPr>
        <rFont val="Calibri"/>
        <color theme="1"/>
        <sz val="11.0"/>
      </rPr>
      <t>Телефон</t>
    </r>
  </si>
  <si>
    <r>
      <rPr>
        <rFont val="Calibri"/>
        <color theme="1"/>
        <sz val="11.0"/>
      </rPr>
      <t>Вода</t>
    </r>
  </si>
  <si>
    <r>
      <rPr>
        <rFont val="Calibri"/>
        <color theme="1"/>
        <sz val="11.0"/>
      </rPr>
      <t>Интернет</t>
    </r>
  </si>
  <si>
    <r>
      <rPr>
        <rFont val="Calibri"/>
        <color theme="1"/>
        <sz val="11.0"/>
      </rPr>
      <t>Кабельное ТВ</t>
    </r>
  </si>
  <si>
    <r>
      <rPr>
        <rFont val="Calibri"/>
        <color theme="1"/>
        <sz val="11.0"/>
      </rPr>
      <t>Вывоз мусора</t>
    </r>
  </si>
  <si>
    <r>
      <rPr>
        <rFont val="Calibri"/>
        <color theme="1"/>
        <sz val="11.0"/>
      </rPr>
      <t>Телефон</t>
    </r>
  </si>
  <si>
    <r>
      <rPr>
        <rFont val="Calibri"/>
        <color theme="1"/>
        <sz val="11.0"/>
      </rPr>
      <t>Интернет</t>
    </r>
  </si>
  <si>
    <r>
      <rPr>
        <rFont val="Calibri"/>
        <color theme="1"/>
        <sz val="11.0"/>
      </rPr>
      <t>Кабельное ТВ</t>
    </r>
  </si>
  <si>
    <r>
      <rPr>
        <rFont val="Calibri"/>
        <b/>
        <i/>
        <color theme="1"/>
        <sz val="11.0"/>
      </rPr>
      <t>Подытог за месяц</t>
    </r>
  </si>
  <si>
    <r>
      <rPr>
        <rFont val="Calibri"/>
        <b/>
        <i/>
        <color theme="1"/>
        <sz val="11.0"/>
      </rPr>
      <t>Подытог за коммунальные услуги</t>
    </r>
  </si>
  <si>
    <t>Аренда за январь, в т. ч. задаток, за вычетом скидки</t>
  </si>
  <si>
    <t>Аренда за год</t>
  </si>
  <si>
    <r>
      <rPr>
        <rFont val="Calibri"/>
        <color theme="1"/>
        <sz val="11.0"/>
      </rPr>
      <t>Плата за электроэнергию, в среднем</t>
    </r>
  </si>
  <si>
    <t>Расходы за 1 квартал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</si>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</sst>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theme="1"/>
      <name val="Calibri"/>
    </font>
    <font>
      <b/>
      <i/>
      <sz val="11.0"/>
      <color rgb="FF2E75B5"/>
      <name val="Calibri"/>
    </font>
    <font>
      <sz val="11.0"/>
      <color theme="1"/>
      <name val="Calibri"/>
    </font>
    <font>
      <i/>
      <sz val="11.0"/>
      <color rgb="FF2E75B5"/>
      <name val="Calibri"/>
    </font>
    <font>
      <color theme="1"/>
      <name val="Calibri"/>
      <scheme val="minor"/>
    </font>
    <font>
      <b/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Font="1"/>
    <xf borderId="0" fillId="0" fontId="4" numFmtId="1" xfId="0" applyFont="1" applyNumberFormat="1"/>
    <xf borderId="0" fillId="0" fontId="5" numFmtId="1" xfId="0" applyFont="1" applyNumberFormat="1"/>
    <xf borderId="1" fillId="2" fontId="2" numFmtId="1" xfId="0" applyBorder="1" applyFill="1" applyFont="1" applyNumberFormat="1"/>
    <xf borderId="0" fillId="0" fontId="6" numFmtId="0" xfId="0" applyFont="1"/>
    <xf borderId="0" fillId="0" fontId="4" numFmtId="0" xfId="0" applyAlignment="1" applyFont="1">
      <alignment horizontal="left"/>
    </xf>
    <xf borderId="1" fillId="2" fontId="7" numFmtId="0" xfId="0" applyBorder="1" applyFill="1" applyFont="1"/>
    <xf borderId="1" fillId="2" fontId="7" numFmtId="1" xfId="0" applyBorder="1" applyFill="1" applyFont="1" applyNumberFormat="1"/>
    <xf borderId="1" fillId="3" fontId="7" numFmtId="0" xfId="0" applyAlignment="1" applyBorder="1" applyFill="1" applyFont="1">
      <alignment shrinkToFit="0" wrapText="1"/>
    </xf>
    <xf borderId="1" fillId="3" fontId="7" numFmtId="1" xfId="0" applyBorder="1" applyFill="1" applyFont="1" applyNumberFormat="1"/>
    <xf borderId="1" fillId="3" fontId="2" numFmtId="1" xfId="0" applyBorder="1" applyFill="1" applyFont="1" applyNumberForma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04Budget201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Детализация расходов"/>
      <sheetName val="Итоговая сводка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13" width="7.86"/>
    <col customWidth="1" min="14" max="14" width="10.0"/>
    <col customWidth="1" min="15" max="26" width="8.71"/>
  </cols>
  <sheetData>
    <row r="1">
      <c r="A1" s="1" t="s">
        <v>0</v>
      </c>
    </row>
    <row r="2" ht="19.5" customHeight="1">
      <c r="A2" s="2" t="s">
        <v>2</v>
      </c>
      <c r="B2" s="4" t="s">
        <v>4</v>
      </c>
      <c r="C2" s="4" t="s">
        <v>6</v>
      </c>
      <c r="D2" s="4" t="s">
        <v>7</v>
      </c>
      <c r="E2" s="4" t="s">
        <v>9</v>
      </c>
      <c r="F2" s="4" t="s">
        <v>10</v>
      </c>
      <c r="G2" s="4" t="s">
        <v>11</v>
      </c>
      <c r="H2" s="4" t="s">
        <v>13</v>
      </c>
      <c r="I2" s="4" t="s">
        <v>15</v>
      </c>
      <c r="J2" s="4" t="s">
        <v>16</v>
      </c>
      <c r="K2" s="4" t="s">
        <v>18</v>
      </c>
      <c r="L2" s="4" t="s">
        <v>19</v>
      </c>
      <c r="M2" s="4" t="s">
        <v>20</v>
      </c>
      <c r="N2" s="4" t="s">
        <v>21</v>
      </c>
    </row>
    <row r="3">
      <c r="A3" s="7" t="s">
        <v>17</v>
      </c>
      <c r="B3" s="8">
        <v>12000.0</v>
      </c>
      <c r="C3" s="8">
        <v>12000.0</v>
      </c>
      <c r="D3" s="8">
        <v>12000.0</v>
      </c>
      <c r="E3" s="8">
        <v>12000.0</v>
      </c>
      <c r="F3" s="8">
        <v>12000.0</v>
      </c>
      <c r="G3" s="8">
        <v>12000.0</v>
      </c>
      <c r="H3" s="8">
        <v>12000.0</v>
      </c>
      <c r="I3" s="8">
        <v>12000.0</v>
      </c>
      <c r="J3" s="8">
        <v>12000.0</v>
      </c>
      <c r="K3" s="8">
        <v>12000.0</v>
      </c>
      <c r="L3" s="8">
        <v>12000.0</v>
      </c>
      <c r="M3" s="8">
        <v>12000.0</v>
      </c>
      <c r="N3" s="10">
        <f t="shared" ref="N3:N5" si="1">SUM(B3:M3)</f>
        <v>144000</v>
      </c>
    </row>
    <row r="4">
      <c r="A4" s="7" t="s">
        <v>22</v>
      </c>
      <c r="B4" s="8">
        <v>400.0</v>
      </c>
      <c r="C4" s="8">
        <v>400.0</v>
      </c>
      <c r="D4" s="8">
        <v>400.0</v>
      </c>
      <c r="E4" s="8">
        <v>400.0</v>
      </c>
      <c r="F4" s="8">
        <v>400.0</v>
      </c>
      <c r="G4" s="8">
        <v>400.0</v>
      </c>
      <c r="H4" s="8">
        <v>400.0</v>
      </c>
      <c r="I4" s="8">
        <v>400.0</v>
      </c>
      <c r="J4" s="8">
        <v>400.0</v>
      </c>
      <c r="K4" s="8">
        <v>400.0</v>
      </c>
      <c r="L4" s="8">
        <v>400.0</v>
      </c>
      <c r="M4" s="8">
        <v>400.0</v>
      </c>
      <c r="N4" s="10">
        <f t="shared" si="1"/>
        <v>4800</v>
      </c>
    </row>
    <row r="5">
      <c r="A5" s="7" t="s">
        <v>25</v>
      </c>
      <c r="B5" s="8">
        <v>5000.0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0">
        <f t="shared" si="1"/>
        <v>5000</v>
      </c>
    </row>
    <row r="6">
      <c r="A6" s="7" t="s">
        <v>29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0"/>
    </row>
    <row r="7">
      <c r="A7" s="7" t="s">
        <v>30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>
      <c r="A8" s="12" t="s">
        <v>31</v>
      </c>
      <c r="B8" s="11">
        <v>1800.0</v>
      </c>
      <c r="C8" s="11">
        <v>1800.0</v>
      </c>
      <c r="D8" s="11">
        <v>1800.0</v>
      </c>
      <c r="E8" s="11">
        <v>1500.0</v>
      </c>
      <c r="F8" s="11">
        <v>1500.0</v>
      </c>
      <c r="G8" s="11">
        <v>1800.0</v>
      </c>
      <c r="H8" s="11">
        <v>2200.0</v>
      </c>
      <c r="I8" s="11">
        <v>2300.0</v>
      </c>
      <c r="J8" s="11">
        <v>1600.0</v>
      </c>
      <c r="K8" s="11">
        <v>1500.0</v>
      </c>
      <c r="L8" s="11">
        <v>1600.0</v>
      </c>
      <c r="M8" s="11">
        <v>1700.0</v>
      </c>
      <c r="N8" s="10">
        <f t="shared" ref="N8:N14" si="2">SUM(B8:M8)</f>
        <v>21100</v>
      </c>
    </row>
    <row r="9">
      <c r="A9" s="12" t="s">
        <v>33</v>
      </c>
      <c r="B9" s="11">
        <v>1200.0</v>
      </c>
      <c r="C9" s="11">
        <v>1200.0</v>
      </c>
      <c r="D9" s="11">
        <v>1100.0</v>
      </c>
      <c r="E9" s="11">
        <v>900.0</v>
      </c>
      <c r="F9" s="11">
        <v>800.0</v>
      </c>
      <c r="G9" s="11">
        <v>700.0</v>
      </c>
      <c r="H9" s="11">
        <v>700.0</v>
      </c>
      <c r="I9" s="11">
        <v>700.0</v>
      </c>
      <c r="J9" s="11">
        <v>800.0</v>
      </c>
      <c r="K9" s="11">
        <v>900.0</v>
      </c>
      <c r="L9" s="11">
        <v>1000.0</v>
      </c>
      <c r="M9" s="11">
        <v>1200.0</v>
      </c>
      <c r="N9" s="10">
        <f t="shared" si="2"/>
        <v>11200</v>
      </c>
    </row>
    <row r="10">
      <c r="A10" s="12" t="s">
        <v>37</v>
      </c>
      <c r="B10" s="11">
        <v>350.0</v>
      </c>
      <c r="C10" s="11">
        <v>350.0</v>
      </c>
      <c r="D10" s="11">
        <v>350.0</v>
      </c>
      <c r="E10" s="11">
        <v>350.0</v>
      </c>
      <c r="F10" s="11">
        <v>350.0</v>
      </c>
      <c r="G10" s="11">
        <v>350.0</v>
      </c>
      <c r="H10" s="11">
        <v>350.0</v>
      </c>
      <c r="I10" s="11">
        <v>350.0</v>
      </c>
      <c r="J10" s="11">
        <v>350.0</v>
      </c>
      <c r="K10" s="11">
        <v>350.0</v>
      </c>
      <c r="L10" s="11">
        <v>350.0</v>
      </c>
      <c r="M10" s="11">
        <v>350.0</v>
      </c>
      <c r="N10" s="10">
        <f t="shared" si="2"/>
        <v>4200</v>
      </c>
    </row>
    <row r="11">
      <c r="A11" s="12" t="s">
        <v>40</v>
      </c>
      <c r="B11" s="11">
        <v>500.0</v>
      </c>
      <c r="C11" s="11">
        <v>500.0</v>
      </c>
      <c r="D11" s="11">
        <v>500.0</v>
      </c>
      <c r="E11" s="11">
        <v>500.0</v>
      </c>
      <c r="F11" s="11">
        <v>500.0</v>
      </c>
      <c r="G11" s="11">
        <v>500.0</v>
      </c>
      <c r="H11" s="11">
        <v>500.0</v>
      </c>
      <c r="I11" s="11">
        <v>500.0</v>
      </c>
      <c r="J11" s="11">
        <v>500.0</v>
      </c>
      <c r="K11" s="11">
        <v>500.0</v>
      </c>
      <c r="L11" s="11">
        <v>500.0</v>
      </c>
      <c r="M11" s="11">
        <v>500.0</v>
      </c>
      <c r="N11" s="10">
        <f t="shared" si="2"/>
        <v>6000</v>
      </c>
    </row>
    <row r="12">
      <c r="A12" s="12" t="s">
        <v>41</v>
      </c>
      <c r="B12" s="11">
        <v>500.0</v>
      </c>
      <c r="C12" s="11">
        <v>500.0</v>
      </c>
      <c r="D12" s="11">
        <v>500.0</v>
      </c>
      <c r="E12" s="11">
        <v>500.0</v>
      </c>
      <c r="F12" s="11">
        <v>500.0</v>
      </c>
      <c r="G12" s="11">
        <v>500.0</v>
      </c>
      <c r="H12" s="11">
        <v>500.0</v>
      </c>
      <c r="I12" s="11">
        <v>500.0</v>
      </c>
      <c r="J12" s="11">
        <v>500.0</v>
      </c>
      <c r="K12" s="11">
        <v>500.0</v>
      </c>
      <c r="L12" s="11">
        <v>500.0</v>
      </c>
      <c r="M12" s="11">
        <v>500.0</v>
      </c>
      <c r="N12" s="10">
        <f t="shared" si="2"/>
        <v>6000</v>
      </c>
    </row>
    <row r="13">
      <c r="A13" s="12" t="s">
        <v>42</v>
      </c>
      <c r="B13" s="11">
        <v>650.0</v>
      </c>
      <c r="C13" s="11">
        <v>650.0</v>
      </c>
      <c r="D13" s="11">
        <v>650.0</v>
      </c>
      <c r="E13" s="11">
        <v>650.0</v>
      </c>
      <c r="F13" s="11">
        <v>650.0</v>
      </c>
      <c r="G13" s="11">
        <v>650.0</v>
      </c>
      <c r="H13" s="11">
        <v>650.0</v>
      </c>
      <c r="I13" s="11">
        <v>650.0</v>
      </c>
      <c r="J13" s="11">
        <v>650.0</v>
      </c>
      <c r="K13" s="11">
        <v>650.0</v>
      </c>
      <c r="L13" s="11">
        <v>650.0</v>
      </c>
      <c r="M13" s="11">
        <v>650.0</v>
      </c>
      <c r="N13" s="10">
        <f t="shared" si="2"/>
        <v>7800</v>
      </c>
    </row>
    <row r="14">
      <c r="A14" s="12" t="s">
        <v>43</v>
      </c>
      <c r="B14" s="11">
        <v>1350.0</v>
      </c>
      <c r="C14" s="11">
        <v>1350.0</v>
      </c>
      <c r="D14" s="11">
        <v>1350.0</v>
      </c>
      <c r="E14" s="11">
        <v>1350.0</v>
      </c>
      <c r="F14" s="11">
        <v>1350.0</v>
      </c>
      <c r="G14" s="11">
        <v>1350.0</v>
      </c>
      <c r="H14" s="11">
        <v>1350.0</v>
      </c>
      <c r="I14" s="11">
        <v>1350.0</v>
      </c>
      <c r="J14" s="11">
        <v>1350.0</v>
      </c>
      <c r="K14" s="11">
        <v>1350.0</v>
      </c>
      <c r="L14" s="11">
        <v>1350.0</v>
      </c>
      <c r="M14" s="11">
        <v>1350.0</v>
      </c>
      <c r="N14" s="10">
        <f t="shared" si="2"/>
        <v>16200</v>
      </c>
    </row>
    <row r="15" ht="19.5" customHeight="1">
      <c r="A15" s="13" t="s">
        <v>44</v>
      </c>
      <c r="B15" s="14">
        <f t="shared" ref="B15:M15" si="3">SUM(B3:B14)</f>
        <v>23750</v>
      </c>
      <c r="C15" s="14">
        <f t="shared" si="3"/>
        <v>18750</v>
      </c>
      <c r="D15" s="14">
        <f t="shared" si="3"/>
        <v>18650</v>
      </c>
      <c r="E15" s="14">
        <f t="shared" si="3"/>
        <v>18150</v>
      </c>
      <c r="F15" s="14">
        <f t="shared" si="3"/>
        <v>18050</v>
      </c>
      <c r="G15" s="14">
        <f t="shared" si="3"/>
        <v>18250</v>
      </c>
      <c r="H15" s="14">
        <f t="shared" si="3"/>
        <v>18650</v>
      </c>
      <c r="I15" s="14">
        <f t="shared" si="3"/>
        <v>18750</v>
      </c>
      <c r="J15" s="14">
        <f t="shared" si="3"/>
        <v>18150</v>
      </c>
      <c r="K15" s="14">
        <f t="shared" si="3"/>
        <v>18150</v>
      </c>
      <c r="L15" s="14">
        <f t="shared" si="3"/>
        <v>18350</v>
      </c>
      <c r="M15" s="14">
        <f t="shared" si="3"/>
        <v>18650</v>
      </c>
      <c r="N15" s="10"/>
    </row>
    <row r="16">
      <c r="A16" s="15" t="s">
        <v>45</v>
      </c>
      <c r="B16" s="16">
        <f t="shared" ref="B16:M16" si="4">SUM(B8:B14)</f>
        <v>6350</v>
      </c>
      <c r="C16" s="16">
        <f t="shared" si="4"/>
        <v>6350</v>
      </c>
      <c r="D16" s="16">
        <f t="shared" si="4"/>
        <v>6250</v>
      </c>
      <c r="E16" s="16">
        <f t="shared" si="4"/>
        <v>5750</v>
      </c>
      <c r="F16" s="16">
        <f t="shared" si="4"/>
        <v>5650</v>
      </c>
      <c r="G16" s="16">
        <f t="shared" si="4"/>
        <v>5850</v>
      </c>
      <c r="H16" s="16">
        <f t="shared" si="4"/>
        <v>6250</v>
      </c>
      <c r="I16" s="16">
        <f t="shared" si="4"/>
        <v>6350</v>
      </c>
      <c r="J16" s="16">
        <f t="shared" si="4"/>
        <v>5750</v>
      </c>
      <c r="K16" s="16">
        <f t="shared" si="4"/>
        <v>5750</v>
      </c>
      <c r="L16" s="16">
        <f t="shared" si="4"/>
        <v>5950</v>
      </c>
      <c r="M16" s="16">
        <f t="shared" si="4"/>
        <v>6250</v>
      </c>
      <c r="N16" s="1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>
      <c r="A18" s="18" t="s">
        <v>46</v>
      </c>
      <c r="B18" s="8">
        <f>$B$3+5000-1000</f>
        <v>16000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>
      <c r="A19" s="7" t="s">
        <v>47</v>
      </c>
      <c r="B19" s="7">
        <f>12000*12</f>
        <v>144000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>
      <c r="A20" s="7" t="s">
        <v>48</v>
      </c>
      <c r="B20" s="7">
        <f>N8/12</f>
        <v>1758.333333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ht="15.75" customHeight="1">
      <c r="A21" s="19" t="s">
        <v>49</v>
      </c>
      <c r="B21" s="8">
        <f>SUM(Расходы_Кв1)</f>
        <v>61150</v>
      </c>
      <c r="C21" s="8"/>
      <c r="D21" s="19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ht="15.75" customHeight="1">
      <c r="C22" s="8"/>
    </row>
    <row r="23" ht="15.75" customHeight="1"/>
    <row r="24" ht="15.75" customHeight="1"/>
    <row r="25" ht="15.75" customHeight="1">
      <c r="D25" s="20" t="s">
        <v>50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2.71"/>
    <col customWidth="1" min="3" max="3" width="14.14"/>
    <col customWidth="1" min="4" max="5" width="12.71"/>
    <col customWidth="1" min="6" max="26" width="8.71"/>
  </cols>
  <sheetData>
    <row r="1">
      <c r="A1" s="1" t="s">
        <v>1</v>
      </c>
    </row>
    <row r="2">
      <c r="A2" s="3" t="s">
        <v>3</v>
      </c>
      <c r="B2" s="5" t="s">
        <v>5</v>
      </c>
      <c r="C2" s="6" t="s">
        <v>8</v>
      </c>
      <c r="D2" s="5" t="s">
        <v>12</v>
      </c>
      <c r="E2" s="6" t="s">
        <v>14</v>
      </c>
    </row>
    <row r="3">
      <c r="A3" s="7" t="s">
        <v>17</v>
      </c>
      <c r="B3" s="8"/>
      <c r="C3" s="9" t="str">
        <f>'[1]Итоговая сводка'!$B$3</f>
        <v>#REF!</v>
      </c>
      <c r="D3" s="8"/>
      <c r="E3" s="9"/>
    </row>
    <row r="4">
      <c r="A4" s="11" t="s">
        <v>23</v>
      </c>
      <c r="B4" s="8"/>
      <c r="C4" s="9"/>
      <c r="D4" s="8"/>
      <c r="E4" s="9"/>
    </row>
    <row r="5">
      <c r="A5" s="11" t="s">
        <v>24</v>
      </c>
      <c r="B5" s="8"/>
      <c r="C5" s="9"/>
      <c r="D5" s="8"/>
      <c r="E5" s="9"/>
    </row>
    <row r="6">
      <c r="A6" s="7" t="s">
        <v>26</v>
      </c>
      <c r="B6" s="8"/>
      <c r="C6" s="9"/>
      <c r="D6" s="8"/>
      <c r="E6" s="9"/>
    </row>
    <row r="7">
      <c r="A7" s="7" t="s">
        <v>27</v>
      </c>
      <c r="B7" s="8"/>
      <c r="C7" s="9"/>
      <c r="D7" s="8"/>
      <c r="E7" s="9"/>
    </row>
    <row r="8">
      <c r="A8" s="12" t="s">
        <v>28</v>
      </c>
      <c r="B8" s="8"/>
      <c r="C8" s="9"/>
      <c r="D8" s="8">
        <f>SUM('Детализация расходов'!N8)/12</f>
        <v>1758.333333</v>
      </c>
      <c r="E8" s="9"/>
    </row>
    <row r="9">
      <c r="A9" s="12" t="s">
        <v>32</v>
      </c>
      <c r="B9" s="8"/>
      <c r="C9" s="9"/>
      <c r="D9" s="8"/>
      <c r="E9" s="9"/>
    </row>
    <row r="10">
      <c r="A10" s="12" t="s">
        <v>34</v>
      </c>
      <c r="B10" s="8"/>
      <c r="C10" s="9"/>
      <c r="D10" s="8"/>
      <c r="E10" s="9"/>
    </row>
    <row r="11">
      <c r="A11" s="12" t="s">
        <v>35</v>
      </c>
      <c r="B11" s="8"/>
      <c r="C11" s="9"/>
      <c r="D11" s="8"/>
      <c r="E11" s="9"/>
    </row>
    <row r="12">
      <c r="A12" s="12" t="s">
        <v>36</v>
      </c>
      <c r="B12" s="8"/>
      <c r="C12" s="9"/>
      <c r="D12" s="8"/>
      <c r="E12" s="9"/>
    </row>
    <row r="13">
      <c r="A13" s="12" t="s">
        <v>38</v>
      </c>
      <c r="B13" s="8"/>
      <c r="C13" s="9"/>
      <c r="D13" s="8"/>
      <c r="E13" s="9"/>
    </row>
    <row r="14">
      <c r="A14" s="12" t="s">
        <v>39</v>
      </c>
      <c r="B14" s="8"/>
      <c r="C14" s="9"/>
      <c r="D14" s="8"/>
      <c r="E1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2016-01-19T09:39:32Z</dcterms:created>
</cp:coreProperties>
</file>