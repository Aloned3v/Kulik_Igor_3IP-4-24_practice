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 filterPrivacy="1"/>
  <bookViews>
    <workbookView xWindow="0" yWindow="0" windowWidth="19200" windowHeight="7035"/>
  </bookViews>
  <sheets>
    <sheet name="Детализация расходов" sheetId="1" r:id="rId1"/>
    <sheet name="Итоговая сводка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1" l="1"/>
  <c r="M16" i="1"/>
  <c r="L16" i="1"/>
  <c r="K16" i="1"/>
  <c r="J16" i="1"/>
  <c r="I16" i="1"/>
  <c r="H16" i="1"/>
  <c r="G16" i="1"/>
  <c r="F16" i="1"/>
  <c r="E16" i="1"/>
  <c r="D16" i="1"/>
  <c r="C16" i="1"/>
  <c r="B16" i="1"/>
  <c r="M15" i="1"/>
  <c r="L15" i="1"/>
  <c r="K15" i="1"/>
  <c r="J15" i="1"/>
  <c r="I15" i="1"/>
  <c r="H15" i="1"/>
  <c r="G15" i="1"/>
  <c r="F15" i="1"/>
  <c r="E15" i="1"/>
  <c r="D15" i="1"/>
  <c r="C15" i="1"/>
  <c r="B15" i="1"/>
  <c r="N14" i="1"/>
  <c r="N13" i="1"/>
  <c r="N12" i="1"/>
  <c r="N11" i="1"/>
  <c r="N10" i="1"/>
  <c r="N9" i="1"/>
  <c r="N8" i="1"/>
  <c r="N5" i="1"/>
  <c r="N4" i="1"/>
  <c r="N3" i="1"/>
  <c r="B14" i="2" l="1"/>
  <c r="C14" i="2"/>
  <c r="C13" i="2"/>
  <c r="B13" i="2"/>
  <c r="B12" i="2"/>
  <c r="C12" i="2"/>
  <c r="C11" i="2"/>
  <c r="B11" i="2"/>
  <c r="B10" i="2"/>
  <c r="C10" i="2"/>
  <c r="C9" i="2"/>
  <c r="B9" i="2"/>
  <c r="C8" i="2"/>
  <c r="B8" i="2"/>
  <c r="C6" i="2"/>
  <c r="B6" i="2"/>
  <c r="C5" i="2"/>
  <c r="B5" i="2"/>
  <c r="C4" i="2"/>
  <c r="B4" i="2"/>
  <c r="B3" i="2"/>
  <c r="C3" i="2"/>
</calcChain>
</file>

<file path=xl/sharedStrings.xml><?xml version="1.0" encoding="utf-8"?>
<sst xmlns="http://schemas.openxmlformats.org/spreadsheetml/2006/main" count="45" uniqueCount="44">
  <si>
    <r>
      <rPr>
        <b/>
        <sz val="11"/>
        <color theme="1"/>
        <rFont val="Calibri"/>
        <family val="2"/>
      </rPr>
      <t>Янв</t>
    </r>
  </si>
  <si>
    <r>
      <rPr>
        <b/>
        <sz val="11"/>
        <color theme="1"/>
        <rFont val="Calibri"/>
        <family val="2"/>
      </rPr>
      <t>Фев</t>
    </r>
  </si>
  <si>
    <r>
      <rPr>
        <b/>
        <sz val="11"/>
        <color theme="1"/>
        <rFont val="Calibri"/>
        <family val="2"/>
      </rPr>
      <t>Мар</t>
    </r>
  </si>
  <si>
    <r>
      <rPr>
        <b/>
        <sz val="11"/>
        <color theme="1"/>
        <rFont val="Calibri"/>
        <family val="2"/>
      </rPr>
      <t>Апр</t>
    </r>
  </si>
  <si>
    <r>
      <rPr>
        <b/>
        <sz val="11"/>
        <color theme="1"/>
        <rFont val="Calibri"/>
        <family val="2"/>
      </rPr>
      <t>Май</t>
    </r>
  </si>
  <si>
    <r>
      <rPr>
        <b/>
        <sz val="11"/>
        <color theme="1"/>
        <rFont val="Calibri"/>
        <family val="2"/>
      </rPr>
      <t>Июн</t>
    </r>
  </si>
  <si>
    <r>
      <rPr>
        <b/>
        <sz val="11"/>
        <color theme="1"/>
        <rFont val="Calibri"/>
        <family val="2"/>
      </rPr>
      <t>Июл</t>
    </r>
  </si>
  <si>
    <r>
      <rPr>
        <b/>
        <sz val="11"/>
        <color theme="1"/>
        <rFont val="Calibri"/>
        <family val="2"/>
      </rPr>
      <t>Авг</t>
    </r>
  </si>
  <si>
    <r>
      <rPr>
        <b/>
        <sz val="11"/>
        <color theme="1"/>
        <rFont val="Calibri"/>
        <family val="2"/>
      </rPr>
      <t>Сен</t>
    </r>
  </si>
  <si>
    <r>
      <rPr>
        <b/>
        <sz val="11"/>
        <color theme="1"/>
        <rFont val="Calibri"/>
        <family val="2"/>
      </rPr>
      <t>Окт</t>
    </r>
  </si>
  <si>
    <r>
      <rPr>
        <b/>
        <sz val="11"/>
        <color theme="1"/>
        <rFont val="Calibri"/>
        <family val="2"/>
      </rPr>
      <t>Ноя</t>
    </r>
  </si>
  <si>
    <r>
      <rPr>
        <b/>
        <sz val="11"/>
        <color theme="1"/>
        <rFont val="Calibri"/>
        <family val="2"/>
      </rPr>
      <t>Дек</t>
    </r>
  </si>
  <si>
    <r>
      <rPr>
        <b/>
        <sz val="11"/>
        <color theme="1"/>
        <rFont val="Calibri"/>
        <family val="2"/>
      </rPr>
      <t>Всего</t>
    </r>
  </si>
  <si>
    <r>
      <rPr>
        <sz val="11"/>
        <color theme="1"/>
        <rFont val="Calibri"/>
        <family val="2"/>
      </rPr>
      <t>Страховка</t>
    </r>
  </si>
  <si>
    <r>
      <rPr>
        <sz val="11"/>
        <color theme="1"/>
        <rFont val="Calibri"/>
        <family val="2"/>
      </rPr>
      <t>Меблировка</t>
    </r>
  </si>
  <si>
    <r>
      <rPr>
        <sz val="11"/>
        <color theme="1"/>
        <rFont val="Calibri"/>
        <family val="2"/>
      </rPr>
      <t>Прочее</t>
    </r>
  </si>
  <si>
    <r>
      <rPr>
        <sz val="11"/>
        <color theme="1"/>
        <rFont val="Calibri"/>
        <family val="2"/>
      </rPr>
      <t>Коммунальные услуги</t>
    </r>
  </si>
  <si>
    <r>
      <rPr>
        <sz val="11"/>
        <color theme="1"/>
        <rFont val="Calibri"/>
        <family val="2"/>
      </rPr>
      <t>Электричество</t>
    </r>
  </si>
  <si>
    <r>
      <rPr>
        <sz val="11"/>
        <color theme="1"/>
        <rFont val="Calibri"/>
        <family val="2"/>
      </rPr>
      <t>Газ</t>
    </r>
  </si>
  <si>
    <r>
      <rPr>
        <sz val="11"/>
        <color theme="1"/>
        <rFont val="Calibri"/>
        <family val="2"/>
      </rPr>
      <t>Вода</t>
    </r>
  </si>
  <si>
    <r>
      <rPr>
        <sz val="11"/>
        <color theme="1"/>
        <rFont val="Calibri"/>
        <family val="2"/>
      </rPr>
      <t>Вывоз мусора</t>
    </r>
  </si>
  <si>
    <r>
      <rPr>
        <sz val="11"/>
        <color theme="1"/>
        <rFont val="Calibri"/>
        <family val="2"/>
      </rPr>
      <t>Телефон</t>
    </r>
  </si>
  <si>
    <r>
      <rPr>
        <sz val="11"/>
        <color theme="1"/>
        <rFont val="Calibri"/>
        <family val="2"/>
      </rPr>
      <t>Интернет</t>
    </r>
  </si>
  <si>
    <r>
      <rPr>
        <sz val="11"/>
        <color theme="1"/>
        <rFont val="Calibri"/>
        <family val="2"/>
      </rPr>
      <t>Кабельное ТВ</t>
    </r>
  </si>
  <si>
    <r>
      <rPr>
        <b/>
        <i/>
        <sz val="11"/>
        <color theme="1"/>
        <rFont val="Calibri"/>
        <family val="2"/>
      </rPr>
      <t>Подытог за месяц</t>
    </r>
  </si>
  <si>
    <r>
      <rPr>
        <b/>
        <i/>
        <sz val="11"/>
        <color theme="1"/>
        <rFont val="Calibri"/>
        <family val="2"/>
      </rPr>
      <t>Подытог за коммунальные услуги</t>
    </r>
  </si>
  <si>
    <r>
      <rPr>
        <b/>
        <sz val="11"/>
        <color theme="1"/>
        <rFont val="Calibri"/>
        <family val="2"/>
      </rPr>
      <t>Категория</t>
    </r>
  </si>
  <si>
    <r>
      <rPr>
        <b/>
        <sz val="11"/>
        <color theme="1"/>
        <rFont val="Calibri"/>
        <family val="2"/>
      </rPr>
      <t>Всего за год</t>
    </r>
  </si>
  <si>
    <r>
      <rPr>
        <b/>
        <sz val="11"/>
        <color theme="1"/>
        <rFont val="Calibri"/>
        <family val="2"/>
      </rPr>
      <t>В среднем
за месяц</t>
    </r>
  </si>
  <si>
    <r>
      <rPr>
        <sz val="11"/>
        <color theme="1"/>
        <rFont val="Calibri"/>
        <family val="2"/>
      </rPr>
      <t>Страховка</t>
    </r>
  </si>
  <si>
    <r>
      <rPr>
        <sz val="11"/>
        <color theme="1"/>
        <rFont val="Calibri"/>
        <family val="2"/>
      </rPr>
      <t>Меблировка</t>
    </r>
  </si>
  <si>
    <r>
      <rPr>
        <sz val="11"/>
        <color theme="1"/>
        <rFont val="Calibri"/>
        <family val="2"/>
      </rPr>
      <t>Прочее</t>
    </r>
  </si>
  <si>
    <r>
      <rPr>
        <sz val="11"/>
        <color theme="1"/>
        <rFont val="Calibri"/>
        <family val="2"/>
      </rPr>
      <t>Коммунальные услуги</t>
    </r>
  </si>
  <si>
    <r>
      <rPr>
        <sz val="11"/>
        <color theme="1"/>
        <rFont val="Calibri"/>
        <family val="2"/>
      </rPr>
      <t>Электричество</t>
    </r>
  </si>
  <si>
    <r>
      <rPr>
        <sz val="11"/>
        <color theme="1"/>
        <rFont val="Calibri"/>
        <family val="2"/>
      </rPr>
      <t>Газ</t>
    </r>
  </si>
  <si>
    <r>
      <rPr>
        <sz val="11"/>
        <color theme="1"/>
        <rFont val="Calibri"/>
        <family val="2"/>
      </rPr>
      <t>Вода</t>
    </r>
  </si>
  <si>
    <r>
      <rPr>
        <sz val="11"/>
        <color theme="1"/>
        <rFont val="Calibri"/>
        <family val="2"/>
      </rPr>
      <t>Вывоз мусора</t>
    </r>
  </si>
  <si>
    <r>
      <rPr>
        <sz val="11"/>
        <color theme="1"/>
        <rFont val="Calibri"/>
        <family val="2"/>
      </rPr>
      <t>Телефон</t>
    </r>
  </si>
  <si>
    <r>
      <rPr>
        <sz val="11"/>
        <color theme="1"/>
        <rFont val="Calibri"/>
        <family val="2"/>
      </rPr>
      <t>Интернет</t>
    </r>
  </si>
  <si>
    <r>
      <rPr>
        <sz val="11"/>
        <color theme="1"/>
        <rFont val="Calibri"/>
        <family val="2"/>
      </rPr>
      <t>Кабельное ТВ</t>
    </r>
  </si>
  <si>
    <t>Расходы на жилье за 2016 г.</t>
  </si>
  <si>
    <t>Категория расходов</t>
  </si>
  <si>
    <t>Итоговая сводка по расходам за 2016 г.</t>
  </si>
  <si>
    <t>Аренда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</si>
</sst>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1"/>
      <name val="Calibri Light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4" fillId="3" borderId="0" applyNumberFormat="0" applyBorder="0" applyAlignment="0" applyProtection="0"/>
  </cellStyleXfs>
  <cellXfs count="18">
    <xf numFmtId="0" fontId="0" fillId="0" borderId="0" xfId="0"/>
    <xf numFmtId="0" fontId="0" fillId="0" borderId="0" xfId="0" applyFont="1"/>
    <xf numFmtId="0" fontId="0" fillId="0" borderId="0" xfId="0" applyFont="1" applyAlignment="1">
      <alignment horizontal="left" indent="2"/>
    </xf>
    <xf numFmtId="1" fontId="0" fillId="0" borderId="0" xfId="0" applyNumberFormat="1"/>
    <xf numFmtId="0" fontId="0" fillId="0" borderId="0" xfId="0" applyNumberFormat="1"/>
    <xf numFmtId="0" fontId="3" fillId="0" borderId="0" xfId="0" applyFont="1"/>
    <xf numFmtId="0" fontId="3" fillId="0" borderId="0" xfId="0" applyFont="1" applyAlignment="1">
      <alignment horizontal="center" wrapText="1"/>
    </xf>
    <xf numFmtId="0" fontId="3" fillId="4" borderId="0" xfId="3" applyFont="1" applyFill="1" applyAlignment="1">
      <alignment horizontal="center"/>
    </xf>
    <xf numFmtId="1" fontId="3" fillId="4" borderId="0" xfId="3" applyNumberFormat="1" applyFont="1" applyFill="1"/>
    <xf numFmtId="0" fontId="5" fillId="4" borderId="0" xfId="3" applyFont="1" applyFill="1"/>
    <xf numFmtId="1" fontId="5" fillId="4" borderId="0" xfId="3" applyNumberFormat="1" applyFont="1" applyFill="1"/>
    <xf numFmtId="0" fontId="5" fillId="5" borderId="0" xfId="2" applyFont="1" applyFill="1" applyAlignment="1">
      <alignment wrapText="1"/>
    </xf>
    <xf numFmtId="1" fontId="5" fillId="5" borderId="0" xfId="2" applyNumberFormat="1" applyFont="1" applyFill="1" applyAlignment="1">
      <alignment wrapText="1"/>
    </xf>
    <xf numFmtId="1" fontId="3" fillId="5" borderId="0" xfId="2" applyNumberFormat="1" applyFont="1" applyFill="1" applyAlignment="1">
      <alignment wrapText="1"/>
    </xf>
    <xf numFmtId="0" fontId="0" fillId="0" borderId="0" xfId="0" applyAlignment="1">
      <alignment wrapText="1"/>
    </xf>
    <xf numFmtId="0" fontId="6" fillId="0" borderId="0" xfId="1" applyFont="1"/>
    <xf numFmtId="0" fontId="7" fillId="4" borderId="0" xfId="3" applyFont="1" applyFill="1"/>
    <xf numFmtId="0" fontId="8" fillId="0" borderId="0" xfId="0" applyFont="1"/>
  </cellXfs>
  <cellStyles count="4">
    <cellStyle name="20% — акцент1" xfId="2" builtinId="30"/>
    <cellStyle name="Акцент6" xfId="3" builtinId="49"/>
    <cellStyle name="Название" xfId="1" builtinId="15"/>
    <cellStyle name="Обычный" xfId="0" builtinId="0"/>
  </cellStyles>
  <dxfs count="0"/>
  <tableStyles count="0" defaultTableStyle="TableStyleMedium2" defaultPivotStyle="PivotStyleLight16"/>
  <colors>
    <mruColors>
      <color rgb="FFF796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23"/>
  <sheetViews>
    <sheetView tabSelected="1" workbookViewId="0"/>
  </sheetViews>
  <sheetFormatPr defaultRowHeight="15" x14ac:dyDescent="0.25"/>
  <cols>
    <col min="1" max="1" width="24.140625" customWidth="1"/>
    <col min="2" max="13" width="7.85546875" customWidth="1"/>
    <col min="14" max="14" width="10" customWidth="1"/>
  </cols>
  <sheetData>
    <row r="1" spans="1:14" ht="23.25" x14ac:dyDescent="0.35">
      <c r="A1" s="15" t="s">
        <v>40</v>
      </c>
    </row>
    <row r="2" spans="1:14" ht="20.100000000000001" customHeight="1" x14ac:dyDescent="0.25">
      <c r="A2" s="16" t="s">
        <v>41</v>
      </c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</row>
    <row r="3" spans="1:14" x14ac:dyDescent="0.25">
      <c r="A3" s="17" t="s">
        <v>43</v>
      </c>
      <c r="B3" s="3">
        <v>11000</v>
      </c>
      <c r="C3" s="3">
        <v>11000</v>
      </c>
      <c r="D3" s="3">
        <v>11000</v>
      </c>
      <c r="E3" s="3">
        <v>11000</v>
      </c>
      <c r="F3" s="3">
        <v>11000</v>
      </c>
      <c r="G3" s="3">
        <v>11000</v>
      </c>
      <c r="H3" s="3">
        <v>11000</v>
      </c>
      <c r="I3" s="3">
        <v>11000</v>
      </c>
      <c r="J3" s="3">
        <v>11000</v>
      </c>
      <c r="K3" s="3">
        <v>11000</v>
      </c>
      <c r="L3" s="3">
        <v>11000</v>
      </c>
      <c r="M3" s="3">
        <v>11000</v>
      </c>
      <c r="N3" s="8">
        <f>SUM(B3:M3)</f>
        <v>132000</v>
      </c>
    </row>
    <row r="4" spans="1:14" x14ac:dyDescent="0.25">
      <c r="A4" s="1" t="s">
        <v>13</v>
      </c>
      <c r="B4" s="3">
        <v>380</v>
      </c>
      <c r="C4" s="3">
        <v>380</v>
      </c>
      <c r="D4" s="3">
        <v>380</v>
      </c>
      <c r="E4" s="3">
        <v>380</v>
      </c>
      <c r="F4" s="3">
        <v>380</v>
      </c>
      <c r="G4" s="3">
        <v>380</v>
      </c>
      <c r="H4" s="3">
        <v>380</v>
      </c>
      <c r="I4" s="3">
        <v>380</v>
      </c>
      <c r="J4" s="3">
        <v>380</v>
      </c>
      <c r="K4" s="3">
        <v>380</v>
      </c>
      <c r="L4" s="3">
        <v>380</v>
      </c>
      <c r="M4" s="3">
        <v>380</v>
      </c>
      <c r="N4" s="8">
        <f>SUM(B4:M4)</f>
        <v>4560</v>
      </c>
    </row>
    <row r="5" spans="1:14" x14ac:dyDescent="0.25">
      <c r="A5" s="1" t="s">
        <v>14</v>
      </c>
      <c r="B5" s="3"/>
      <c r="C5" s="3"/>
      <c r="D5" s="3">
        <v>3500</v>
      </c>
      <c r="E5" s="3"/>
      <c r="F5" s="3"/>
      <c r="G5" s="3">
        <v>1000</v>
      </c>
      <c r="H5" s="3"/>
      <c r="I5" s="3">
        <v>2000</v>
      </c>
      <c r="J5" s="3"/>
      <c r="K5" s="3"/>
      <c r="L5" s="3">
        <v>2250</v>
      </c>
      <c r="M5" s="3"/>
      <c r="N5" s="8">
        <f>SUM(B5:M5)</f>
        <v>8750</v>
      </c>
    </row>
    <row r="6" spans="1:14" x14ac:dyDescent="0.25">
      <c r="A6" s="1" t="s">
        <v>15</v>
      </c>
      <c r="B6" s="3">
        <v>480</v>
      </c>
      <c r="C6" s="3">
        <v>370</v>
      </c>
      <c r="D6" s="3">
        <v>950</v>
      </c>
      <c r="E6" s="3">
        <v>0</v>
      </c>
      <c r="F6" s="3">
        <v>630</v>
      </c>
      <c r="G6" s="3">
        <v>590</v>
      </c>
      <c r="H6" s="3">
        <v>720</v>
      </c>
      <c r="I6" s="3">
        <v>610</v>
      </c>
      <c r="J6" s="3">
        <v>460</v>
      </c>
      <c r="K6" s="3">
        <v>0</v>
      </c>
      <c r="L6" s="3">
        <v>230</v>
      </c>
      <c r="M6" s="3">
        <v>840</v>
      </c>
      <c r="N6" s="8">
        <f>SUM(B6:M6)</f>
        <v>5880</v>
      </c>
    </row>
    <row r="7" spans="1:14" x14ac:dyDescent="0.25">
      <c r="A7" s="1" t="s">
        <v>16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8"/>
    </row>
    <row r="8" spans="1:14" x14ac:dyDescent="0.25">
      <c r="A8" s="2" t="s">
        <v>17</v>
      </c>
      <c r="B8">
        <v>160</v>
      </c>
      <c r="C8">
        <v>1700</v>
      </c>
      <c r="D8">
        <v>1720</v>
      </c>
      <c r="E8">
        <v>1470</v>
      </c>
      <c r="F8">
        <v>1520</v>
      </c>
      <c r="G8">
        <v>1730</v>
      </c>
      <c r="H8">
        <v>1980</v>
      </c>
      <c r="I8">
        <v>2020</v>
      </c>
      <c r="J8">
        <v>1520</v>
      </c>
      <c r="K8">
        <v>1400</v>
      </c>
      <c r="L8">
        <v>1480</v>
      </c>
      <c r="M8">
        <v>1630</v>
      </c>
      <c r="N8" s="8">
        <f t="shared" ref="N8:N14" si="0">SUM(B8:M8)</f>
        <v>18330</v>
      </c>
    </row>
    <row r="9" spans="1:14" x14ac:dyDescent="0.25">
      <c r="A9" s="2" t="s">
        <v>18</v>
      </c>
      <c r="B9">
        <v>1120</v>
      </c>
      <c r="C9">
        <v>1020</v>
      </c>
      <c r="D9">
        <v>980</v>
      </c>
      <c r="E9">
        <v>810</v>
      </c>
      <c r="F9">
        <v>720</v>
      </c>
      <c r="G9">
        <v>630</v>
      </c>
      <c r="H9">
        <v>650</v>
      </c>
      <c r="I9">
        <v>660</v>
      </c>
      <c r="J9">
        <v>740</v>
      </c>
      <c r="K9">
        <v>860</v>
      </c>
      <c r="L9">
        <v>920</v>
      </c>
      <c r="M9">
        <v>1110</v>
      </c>
      <c r="N9" s="8">
        <f t="shared" si="0"/>
        <v>10220</v>
      </c>
    </row>
    <row r="10" spans="1:14" x14ac:dyDescent="0.25">
      <c r="A10" s="2" t="s">
        <v>19</v>
      </c>
      <c r="B10">
        <v>330</v>
      </c>
      <c r="C10">
        <v>330</v>
      </c>
      <c r="D10">
        <v>330</v>
      </c>
      <c r="E10">
        <v>330</v>
      </c>
      <c r="F10">
        <v>330</v>
      </c>
      <c r="G10">
        <v>330</v>
      </c>
      <c r="H10">
        <v>330</v>
      </c>
      <c r="I10">
        <v>330</v>
      </c>
      <c r="J10">
        <v>330</v>
      </c>
      <c r="K10">
        <v>330</v>
      </c>
      <c r="L10">
        <v>330</v>
      </c>
      <c r="M10">
        <v>330</v>
      </c>
      <c r="N10" s="8">
        <f t="shared" si="0"/>
        <v>3960</v>
      </c>
    </row>
    <row r="11" spans="1:14" x14ac:dyDescent="0.25">
      <c r="A11" s="2" t="s">
        <v>20</v>
      </c>
      <c r="B11">
        <v>480</v>
      </c>
      <c r="C11">
        <v>480</v>
      </c>
      <c r="D11">
        <v>480</v>
      </c>
      <c r="E11">
        <v>480</v>
      </c>
      <c r="F11">
        <v>480</v>
      </c>
      <c r="G11">
        <v>480</v>
      </c>
      <c r="H11">
        <v>480</v>
      </c>
      <c r="I11">
        <v>480</v>
      </c>
      <c r="J11">
        <v>480</v>
      </c>
      <c r="K11">
        <v>480</v>
      </c>
      <c r="L11">
        <v>480</v>
      </c>
      <c r="M11">
        <v>480</v>
      </c>
      <c r="N11" s="8">
        <f t="shared" si="0"/>
        <v>5760</v>
      </c>
    </row>
    <row r="12" spans="1:14" x14ac:dyDescent="0.25">
      <c r="A12" s="2" t="s">
        <v>21</v>
      </c>
      <c r="B12">
        <v>330</v>
      </c>
      <c r="C12">
        <v>330</v>
      </c>
      <c r="D12">
        <v>330</v>
      </c>
      <c r="E12">
        <v>330</v>
      </c>
      <c r="F12">
        <v>330</v>
      </c>
      <c r="G12">
        <v>330</v>
      </c>
      <c r="H12">
        <v>330</v>
      </c>
      <c r="I12">
        <v>330</v>
      </c>
      <c r="J12">
        <v>330</v>
      </c>
      <c r="K12">
        <v>330</v>
      </c>
      <c r="L12">
        <v>330</v>
      </c>
      <c r="M12">
        <v>330</v>
      </c>
      <c r="N12" s="8">
        <f t="shared" si="0"/>
        <v>3960</v>
      </c>
    </row>
    <row r="13" spans="1:14" x14ac:dyDescent="0.25">
      <c r="A13" s="2" t="s">
        <v>22</v>
      </c>
      <c r="B13">
        <v>570</v>
      </c>
      <c r="C13">
        <v>570</v>
      </c>
      <c r="D13">
        <v>570</v>
      </c>
      <c r="E13">
        <v>570</v>
      </c>
      <c r="F13">
        <v>570</v>
      </c>
      <c r="G13">
        <v>570</v>
      </c>
      <c r="H13">
        <v>570</v>
      </c>
      <c r="I13">
        <v>570</v>
      </c>
      <c r="J13">
        <v>570</v>
      </c>
      <c r="K13">
        <v>570</v>
      </c>
      <c r="L13">
        <v>570</v>
      </c>
      <c r="M13">
        <v>570</v>
      </c>
      <c r="N13" s="8">
        <f t="shared" si="0"/>
        <v>6840</v>
      </c>
    </row>
    <row r="14" spans="1:14" x14ac:dyDescent="0.25">
      <c r="A14" s="2" t="s">
        <v>23</v>
      </c>
      <c r="B14">
        <v>1280</v>
      </c>
      <c r="C14">
        <v>1290</v>
      </c>
      <c r="D14">
        <v>1290</v>
      </c>
      <c r="E14">
        <v>1290</v>
      </c>
      <c r="F14">
        <v>1300</v>
      </c>
      <c r="G14">
        <v>1300</v>
      </c>
      <c r="H14">
        <v>1300</v>
      </c>
      <c r="I14">
        <v>1310</v>
      </c>
      <c r="J14">
        <v>1310</v>
      </c>
      <c r="K14">
        <v>1310</v>
      </c>
      <c r="L14">
        <v>1310</v>
      </c>
      <c r="M14">
        <v>1320</v>
      </c>
      <c r="N14" s="8">
        <f t="shared" si="0"/>
        <v>15610</v>
      </c>
    </row>
    <row r="15" spans="1:14" ht="20.100000000000001" customHeight="1" x14ac:dyDescent="0.25">
      <c r="A15" s="9" t="s">
        <v>24</v>
      </c>
      <c r="B15" s="10">
        <f>SUM(B3:B14)</f>
        <v>16130</v>
      </c>
      <c r="C15" s="10">
        <f t="shared" ref="C15:M15" si="1">SUM(C3:C14)</f>
        <v>17470</v>
      </c>
      <c r="D15" s="10">
        <f t="shared" si="1"/>
        <v>21530</v>
      </c>
      <c r="E15" s="10">
        <f t="shared" si="1"/>
        <v>16660</v>
      </c>
      <c r="F15" s="10">
        <f t="shared" si="1"/>
        <v>17260</v>
      </c>
      <c r="G15" s="10">
        <f t="shared" si="1"/>
        <v>18340</v>
      </c>
      <c r="H15" s="10">
        <f t="shared" si="1"/>
        <v>17740</v>
      </c>
      <c r="I15" s="10">
        <f t="shared" si="1"/>
        <v>19690</v>
      </c>
      <c r="J15" s="10">
        <f t="shared" si="1"/>
        <v>17120</v>
      </c>
      <c r="K15" s="10">
        <f t="shared" si="1"/>
        <v>16660</v>
      </c>
      <c r="L15" s="10">
        <f t="shared" si="1"/>
        <v>19280</v>
      </c>
      <c r="M15" s="10">
        <f t="shared" si="1"/>
        <v>17990</v>
      </c>
      <c r="N15" s="8"/>
    </row>
    <row r="16" spans="1:14" s="14" customFormat="1" ht="30" x14ac:dyDescent="0.25">
      <c r="A16" s="11" t="s">
        <v>25</v>
      </c>
      <c r="B16" s="12">
        <f>SUM(B8:B14)</f>
        <v>4270</v>
      </c>
      <c r="C16" s="12">
        <f t="shared" ref="C16:M16" si="2">SUM(C8:C14)</f>
        <v>5720</v>
      </c>
      <c r="D16" s="12">
        <f t="shared" si="2"/>
        <v>5700</v>
      </c>
      <c r="E16" s="12">
        <f t="shared" si="2"/>
        <v>5280</v>
      </c>
      <c r="F16" s="12">
        <f t="shared" si="2"/>
        <v>5250</v>
      </c>
      <c r="G16" s="12">
        <f t="shared" si="2"/>
        <v>5370</v>
      </c>
      <c r="H16" s="12">
        <f t="shared" si="2"/>
        <v>5640</v>
      </c>
      <c r="I16" s="12">
        <f t="shared" si="2"/>
        <v>5700</v>
      </c>
      <c r="J16" s="12">
        <f t="shared" si="2"/>
        <v>5280</v>
      </c>
      <c r="K16" s="12">
        <f t="shared" si="2"/>
        <v>5280</v>
      </c>
      <c r="L16" s="12">
        <f t="shared" si="2"/>
        <v>5420</v>
      </c>
      <c r="M16" s="12">
        <f t="shared" si="2"/>
        <v>5770</v>
      </c>
      <c r="N16" s="13"/>
    </row>
    <row r="17" spans="1:14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A4" sqref="A4"/>
    </sheetView>
  </sheetViews>
  <sheetFormatPr defaultRowHeight="15" x14ac:dyDescent="0.25"/>
  <cols>
    <col min="1" max="1" width="18.85546875" customWidth="1"/>
    <col min="2" max="3" width="12" customWidth="1"/>
  </cols>
  <sheetData>
    <row r="1" spans="1:3" ht="23.25" x14ac:dyDescent="0.35">
      <c r="A1" s="15" t="s">
        <v>42</v>
      </c>
    </row>
    <row r="2" spans="1:3" ht="30" x14ac:dyDescent="0.25">
      <c r="A2" s="5" t="s">
        <v>26</v>
      </c>
      <c r="B2" s="6" t="s">
        <v>27</v>
      </c>
      <c r="C2" s="6" t="s">
        <v>28</v>
      </c>
    </row>
    <row r="3" spans="1:3" x14ac:dyDescent="0.25">
      <c r="A3" s="17" t="s">
        <v>43</v>
      </c>
      <c r="B3" s="3">
        <f>('Детализация расходов'!N3)</f>
        <v>132000</v>
      </c>
      <c r="C3" s="3">
        <f>SUM('Детализация расходов'!N3)/12</f>
        <v>11000</v>
      </c>
    </row>
    <row r="4" spans="1:3" x14ac:dyDescent="0.25">
      <c r="A4" t="s">
        <v>29</v>
      </c>
      <c r="B4" s="3">
        <f>('Детализация расходов'!N4)</f>
        <v>4560</v>
      </c>
      <c r="C4" s="3">
        <f>SUM('Детализация расходов'!N4)/12</f>
        <v>380</v>
      </c>
    </row>
    <row r="5" spans="1:3" x14ac:dyDescent="0.25">
      <c r="A5" t="s">
        <v>30</v>
      </c>
      <c r="B5" s="3">
        <f>('Детализация расходов'!N5)</f>
        <v>8750</v>
      </c>
      <c r="C5" s="3">
        <f>SUM('Детализация расходов'!N5)/12</f>
        <v>729.16666666666663</v>
      </c>
    </row>
    <row r="6" spans="1:3" x14ac:dyDescent="0.25">
      <c r="A6" s="1" t="s">
        <v>31</v>
      </c>
      <c r="B6" s="3">
        <f>('Детализация расходов'!N6)</f>
        <v>5880</v>
      </c>
      <c r="C6" s="3">
        <f>SUM('Детализация расходов'!N6)/12</f>
        <v>490</v>
      </c>
    </row>
    <row r="7" spans="1:3" x14ac:dyDescent="0.25">
      <c r="A7" s="1" t="s">
        <v>32</v>
      </c>
      <c r="B7" s="3"/>
      <c r="C7" s="3"/>
    </row>
    <row r="8" spans="1:3" x14ac:dyDescent="0.25">
      <c r="A8" s="2" t="s">
        <v>33</v>
      </c>
      <c r="B8" s="3">
        <f>('Детализация расходов'!N8)</f>
        <v>18330</v>
      </c>
      <c r="C8" s="3">
        <f>SUM('Детализация расходов'!N8)/12</f>
        <v>1527.5</v>
      </c>
    </row>
    <row r="9" spans="1:3" x14ac:dyDescent="0.25">
      <c r="A9" s="2" t="s">
        <v>34</v>
      </c>
      <c r="B9" s="3">
        <f>('Детализация расходов'!N9)</f>
        <v>10220</v>
      </c>
      <c r="C9" s="3">
        <f>SUM('Детализация расходов'!N9)/12</f>
        <v>851.66666666666663</v>
      </c>
    </row>
    <row r="10" spans="1:3" x14ac:dyDescent="0.25">
      <c r="A10" s="2" t="s">
        <v>35</v>
      </c>
      <c r="B10" s="3">
        <f>('Детализация расходов'!N10)</f>
        <v>3960</v>
      </c>
      <c r="C10" s="3">
        <f>SUM('Детализация расходов'!N10)/12</f>
        <v>330</v>
      </c>
    </row>
    <row r="11" spans="1:3" x14ac:dyDescent="0.25">
      <c r="A11" s="2" t="s">
        <v>36</v>
      </c>
      <c r="B11" s="3">
        <f>('Детализация расходов'!N11)</f>
        <v>5760</v>
      </c>
      <c r="C11" s="3">
        <f>SUM('Детализация расходов'!N11)/12</f>
        <v>480</v>
      </c>
    </row>
    <row r="12" spans="1:3" x14ac:dyDescent="0.25">
      <c r="A12" s="2" t="s">
        <v>37</v>
      </c>
      <c r="B12" s="3">
        <f>('Детализация расходов'!N12)</f>
        <v>3960</v>
      </c>
      <c r="C12" s="3">
        <f>SUM('Детализация расходов'!N12)/12</f>
        <v>330</v>
      </c>
    </row>
    <row r="13" spans="1:3" x14ac:dyDescent="0.25">
      <c r="A13" s="2" t="s">
        <v>38</v>
      </c>
      <c r="B13" s="3">
        <f>('Детализация расходов'!N13)</f>
        <v>6840</v>
      </c>
      <c r="C13" s="3">
        <f>SUM('Детализация расходов'!N13)/12</f>
        <v>570</v>
      </c>
    </row>
    <row r="14" spans="1:3" x14ac:dyDescent="0.25">
      <c r="A14" s="2" t="s">
        <v>39</v>
      </c>
      <c r="B14" s="3">
        <f>('Детализация расходов'!N14)</f>
        <v>15610</v>
      </c>
      <c r="C14" s="3">
        <f>SUM('Детализация расходов'!N14)/12</f>
        <v>1300.8333333333333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Детализация расходов</vt:lpstr>
      <vt:lpstr>Итоговая сводка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2016-01-19T10:06:11Z</dcterms:created>
  <dcterms:modified xsi:type="dcterms:W3CDTF">2017-02-03T15:15:39Z</dcterms:modified>
</cp:coreProperties>
</file>