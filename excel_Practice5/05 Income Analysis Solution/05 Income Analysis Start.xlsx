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одажи " sheetId="1" r:id="rId4"/>
    <sheet state="visible" name="Расходы" sheetId="2" r:id="rId5"/>
    <sheet state="visible" name="Аналитика" sheetId="3" r:id="rId6"/>
  </sheets>
  <definedNames>
    <definedName name="Чартерные_рейсы">'Продажи '!$B$6:$E$6</definedName>
    <definedName name="Летная_школа_расх">'Расходы'!$B$7:$E$7</definedName>
    <definedName name="Прыжки_с_парашютом_расх">'Расходы'!$B$5:$E$5</definedName>
    <definedName name="Прыжки_с_парашютом">'Продажи '!$B$5:$E$5</definedName>
    <definedName name="Летная_школа">'Продажи '!$B$7:$E$7</definedName>
    <definedName name="Корпоративные_контракты_расх">'Расходы'!$B$4:$E$4</definedName>
    <definedName name="Корпоративные_контракты">'Продажи '!$B$4:$E$4</definedName>
    <definedName name="Чартерные_рейсы_расх">'Расходы'!$B$6:$E$6</definedName>
  </definedNames>
  <calcPr/>
  <extLst>
    <ext uri="GoogleSheetsCustomDataVersion2">
      <go:sheetsCustomData xmlns:go="http://customooxmlschemas.google.com/" r:id="rId7" roundtripDataChecksum="I2TtwO+xVg7Oe1dc1xiZt0mfYlpoB5t+3pTVFlEkurA="/>
    </ext>
  </extLst>
</workbook>
</file>

<file path=xl/sharedStrings.xml><?xml version="1.0" encoding="utf-8"?>
<sst xmlns="http://schemas.openxmlformats.org/spreadsheetml/2006/main" count="54" uniqueCount="52">
  <si>
    <t>Авиакомпания Blue Yonder Airlines</t>
  </si>
  <si>
    <t>Годовой объем продаж (в тыс. долл. США)</t>
  </si>
  <si>
    <r>
      <rPr>
        <rFont val="Calibri"/>
        <b/>
        <color rgb="FF1F497D"/>
        <sz val="11.0"/>
      </rPr>
      <t>2014 фин. год</t>
    </r>
  </si>
  <si>
    <r>
      <rPr>
        <rFont val="Calibri"/>
        <b/>
        <color rgb="FF1F497D"/>
        <sz val="11.0"/>
      </rPr>
      <t>2015 фин. год</t>
    </r>
  </si>
  <si>
    <r>
      <rPr>
        <rFont val="Calibri"/>
        <b/>
        <color rgb="FF1F497D"/>
        <sz val="11.0"/>
      </rPr>
      <t>2016 фин. год</t>
    </r>
  </si>
  <si>
    <r>
      <rPr>
        <rFont val="Calibri"/>
        <b/>
        <color rgb="FF1F497D"/>
        <sz val="11.0"/>
      </rPr>
      <t>2017 фин. год</t>
    </r>
  </si>
  <si>
    <r>
      <rPr>
        <rFont val="Calibri"/>
        <b/>
        <color rgb="FF1F497D"/>
        <sz val="11.0"/>
      </rPr>
      <t>Итого</t>
    </r>
  </si>
  <si>
    <r>
      <rPr>
        <rFont val="Arial"/>
        <b/>
        <color theme="1"/>
        <sz val="10.0"/>
      </rPr>
      <t>Корпоративные контракты</t>
    </r>
  </si>
  <si>
    <r>
      <rPr>
        <rFont val="Arial"/>
        <b/>
        <color theme="1"/>
        <sz val="10.0"/>
      </rPr>
      <t xml:space="preserve">Прыжки с парашютом </t>
    </r>
  </si>
  <si>
    <r>
      <rPr>
        <rFont val="Arial"/>
        <b/>
        <color theme="1"/>
        <sz val="10.0"/>
      </rPr>
      <t>Чартерные рейсы</t>
    </r>
  </si>
  <si>
    <r>
      <rPr>
        <rFont val="Arial"/>
        <b/>
        <color theme="1"/>
        <sz val="10.0"/>
      </rPr>
      <t>Летная школа</t>
    </r>
  </si>
  <si>
    <r>
      <rPr>
        <rFont val="Calibri"/>
        <b/>
        <color theme="1"/>
        <sz val="11.0"/>
      </rPr>
      <t>Общая сумма продаж</t>
    </r>
  </si>
  <si>
    <r>
      <rPr>
        <rFont val="Arial"/>
        <color theme="1"/>
        <sz val="10.0"/>
      </rPr>
      <t xml:space="preserve"> </t>
    </r>
  </si>
  <si>
    <r>
      <rPr>
        <rFont val="Calibri"/>
        <b/>
        <color rgb="FF1F497D"/>
        <sz val="13.0"/>
      </rPr>
      <t>Рост, %</t>
    </r>
  </si>
  <si>
    <r>
      <rPr>
        <rFont val="Calibri"/>
        <b/>
        <color rgb="FF1F497D"/>
        <sz val="11.0"/>
      </rPr>
      <t>2015 фин. год</t>
    </r>
  </si>
  <si>
    <r>
      <rPr>
        <rFont val="Calibri"/>
        <b/>
        <color rgb="FF1F497D"/>
        <sz val="11.0"/>
      </rPr>
      <t>2016 фин. год</t>
    </r>
  </si>
  <si>
    <r>
      <rPr>
        <rFont val="Calibri"/>
        <b/>
        <color rgb="FF1F497D"/>
        <sz val="11.0"/>
      </rPr>
      <t>2017 фин. год</t>
    </r>
  </si>
  <si>
    <r>
      <rPr>
        <rFont val="Calibri"/>
        <b/>
        <color rgb="FF1F497D"/>
        <sz val="11.0"/>
      </rPr>
      <t>2014-2017</t>
    </r>
  </si>
  <si>
    <r>
      <rPr>
        <rFont val="Arial"/>
        <b/>
        <color theme="1"/>
        <sz val="10.0"/>
      </rPr>
      <t>Корпоративные контракты</t>
    </r>
  </si>
  <si>
    <r>
      <rPr>
        <rFont val="Arial"/>
        <b/>
        <color theme="1"/>
        <sz val="10.0"/>
      </rPr>
      <t xml:space="preserve">Прыжки с парашютом </t>
    </r>
  </si>
  <si>
    <r>
      <rPr>
        <rFont val="Arial"/>
        <b/>
        <color theme="1"/>
        <sz val="10.0"/>
      </rPr>
      <t>Чартерные рейсы</t>
    </r>
  </si>
  <si>
    <r>
      <rPr>
        <rFont val="Arial"/>
        <b/>
        <color theme="1"/>
        <sz val="10.0"/>
      </rPr>
      <t>Летная школа</t>
    </r>
  </si>
  <si>
    <r>
      <rPr>
        <rFont val="Calibri"/>
        <b/>
        <color rgb="FF1F497D"/>
        <sz val="13.0"/>
      </rPr>
      <t>Расходы (в тыс. долл. США)</t>
    </r>
  </si>
  <si>
    <r>
      <rPr>
        <rFont val="Calibri"/>
        <b/>
        <color rgb="FF1F497D"/>
        <sz val="11.0"/>
      </rPr>
      <t>2014 фин. год</t>
    </r>
  </si>
  <si>
    <r>
      <rPr>
        <rFont val="Calibri"/>
        <b/>
        <color rgb="FF1F497D"/>
        <sz val="11.0"/>
      </rPr>
      <t>2015 фин. год</t>
    </r>
  </si>
  <si>
    <r>
      <rPr>
        <rFont val="Calibri"/>
        <b/>
        <color rgb="FF1F497D"/>
        <sz val="11.0"/>
      </rPr>
      <t>2016 фин. год</t>
    </r>
  </si>
  <si>
    <r>
      <rPr>
        <rFont val="Calibri"/>
        <b/>
        <color rgb="FF1F497D"/>
        <sz val="11.0"/>
      </rPr>
      <t>2017 фин. год</t>
    </r>
  </si>
  <si>
    <r>
      <rPr>
        <rFont val="Calibri"/>
        <b/>
        <color rgb="FF1F497D"/>
        <sz val="11.0"/>
      </rPr>
      <t>Итого</t>
    </r>
  </si>
  <si>
    <r>
      <rPr>
        <rFont val="Arial"/>
        <b/>
        <color theme="1"/>
        <sz val="10.0"/>
      </rPr>
      <t>Корпоративные контракты</t>
    </r>
  </si>
  <si>
    <r>
      <rPr>
        <rFont val="Arial"/>
        <b/>
        <color theme="1"/>
        <sz val="10.0"/>
      </rPr>
      <t xml:space="preserve">Прыжки с парашютом </t>
    </r>
  </si>
  <si>
    <r>
      <rPr>
        <rFont val="Arial"/>
        <b/>
        <color theme="1"/>
        <sz val="10.0"/>
      </rPr>
      <t>Чартерные рейсы</t>
    </r>
  </si>
  <si>
    <r>
      <rPr>
        <rFont val="Arial"/>
        <b/>
        <color theme="1"/>
        <sz val="10.0"/>
      </rPr>
      <t>Летная школа</t>
    </r>
  </si>
  <si>
    <r>
      <rPr>
        <rFont val="Calibri"/>
        <b/>
        <color theme="1"/>
        <sz val="11.0"/>
      </rPr>
      <t>Общая сумма расходов</t>
    </r>
  </si>
  <si>
    <r>
      <rPr>
        <rFont val="Calibri"/>
        <b/>
        <color rgb="FF1F497D"/>
        <sz val="13.0"/>
      </rPr>
      <t>Рост, %</t>
    </r>
  </si>
  <si>
    <r>
      <rPr>
        <rFont val="Calibri"/>
        <b/>
        <color rgb="FF1F497D"/>
        <sz val="11.0"/>
      </rPr>
      <t>2015 фин. год</t>
    </r>
  </si>
  <si>
    <r>
      <rPr>
        <rFont val="Calibri"/>
        <b/>
        <color rgb="FF1F497D"/>
        <sz val="11.0"/>
      </rPr>
      <t>2016 фин. год</t>
    </r>
  </si>
  <si>
    <r>
      <rPr>
        <rFont val="Calibri"/>
        <b/>
        <color rgb="FF1F497D"/>
        <sz val="11.0"/>
      </rPr>
      <t>2017 фин. год</t>
    </r>
  </si>
  <si>
    <r>
      <rPr>
        <rFont val="Calibri"/>
        <b/>
        <color rgb="FF1F497D"/>
        <sz val="11.0"/>
      </rPr>
      <t>2014-2017</t>
    </r>
  </si>
  <si>
    <r>
      <rPr>
        <rFont val="Arial"/>
        <b/>
        <color theme="1"/>
        <sz val="10.0"/>
      </rPr>
      <t>Корпоративные контракты</t>
    </r>
  </si>
  <si>
    <r>
      <rPr>
        <rFont val="Arial"/>
        <b/>
        <color theme="1"/>
        <sz val="10.0"/>
      </rPr>
      <t xml:space="preserve">Прыжки с парашютом </t>
    </r>
  </si>
  <si>
    <r>
      <rPr>
        <rFont val="Arial"/>
        <b/>
        <color theme="1"/>
        <sz val="10.0"/>
      </rPr>
      <t>Чартерные рейсы</t>
    </r>
  </si>
  <si>
    <r>
      <rPr>
        <rFont val="Arial"/>
        <b/>
        <color theme="1"/>
        <sz val="10.0"/>
      </rPr>
      <t>Летная школа</t>
    </r>
  </si>
  <si>
    <t>Анализ доходов и расходов  (в тыс. долл. США)</t>
  </si>
  <si>
    <r>
      <rPr>
        <rFont val="Arial"/>
        <color theme="1"/>
        <sz val="10.0"/>
      </rPr>
      <t xml:space="preserve"> </t>
    </r>
  </si>
  <si>
    <t>Средний объем продаж</t>
  </si>
  <si>
    <t>Средний объем расходов</t>
  </si>
  <si>
    <t>Максимальный объем продаж</t>
  </si>
  <si>
    <t>Максимальный объем расходов</t>
  </si>
  <si>
    <r>
      <rPr>
        <rFont val="Arial"/>
        <b/>
        <color theme="1"/>
        <sz val="10.0"/>
      </rPr>
      <t>Корпоративные контракты</t>
    </r>
  </si>
  <si>
    <r>
      <rPr>
        <rFont val="Arial"/>
        <b/>
        <color theme="1"/>
        <sz val="10.0"/>
      </rPr>
      <t xml:space="preserve">Прыжки с парашютом </t>
    </r>
  </si>
  <si>
    <r>
      <rPr>
        <rFont val="Arial"/>
        <b/>
        <color theme="1"/>
        <sz val="10.0"/>
      </rPr>
      <t>Чартерные рейсы</t>
    </r>
  </si>
  <si>
    <r>
      <rPr>
        <rFont val="Arial"/>
        <b/>
        <color theme="1"/>
        <sz val="10.0"/>
      </rPr>
      <t>Летная школа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</si>
</sst>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\ _₽"/>
    <numFmt numFmtId="165" formatCode="&quot;$&quot;#,##0.00"/>
    <numFmt numFmtId="166" formatCode="0.0%"/>
  </numFmts>
  <fonts count="8">
    <font>
      <sz val="10.0"/>
      <color rgb="FF000000"/>
      <name val="Calibri"/>
      <scheme val="minor"/>
    </font>
    <font>
      <b/>
      <sz val="15.0"/>
      <color rgb="FF1F497D"/>
      <name val="Calibri"/>
    </font>
    <font/>
    <font>
      <b/>
      <sz val="13.0"/>
      <color rgb="FF1F497D"/>
      <name val="Calibri"/>
    </font>
    <font>
      <b/>
      <sz val="11.0"/>
      <color rgb="FF1F497D"/>
      <name val="Calibri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bottom style="thick">
        <color theme="4"/>
      </bottom>
    </border>
    <border>
      <bottom style="thick">
        <color rgb="FFA6BFDD"/>
      </bottom>
    </border>
    <border>
      <bottom style="medium">
        <color rgb="FF95B3D7"/>
      </bottom>
    </border>
    <border>
      <top style="thin">
        <color theme="4"/>
      </top>
      <bottom style="double">
        <color theme="4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0" fontId="3" numFmtId="0" xfId="0" applyAlignment="1" applyBorder="1" applyFont="1">
      <alignment horizontal="center"/>
    </xf>
    <xf borderId="2" fillId="0" fontId="2" numFmtId="0" xfId="0" applyBorder="1" applyFont="1"/>
    <xf borderId="3" fillId="0" fontId="4" numFmtId="0" xfId="0" applyBorder="1" applyFont="1"/>
    <xf borderId="3" fillId="0" fontId="4" numFmtId="0" xfId="0" applyAlignment="1" applyBorder="1" applyFont="1">
      <alignment horizontal="center"/>
    </xf>
    <xf borderId="3" fillId="0" fontId="4" numFmtId="49" xfId="0" applyAlignment="1" applyBorder="1" applyFont="1" applyNumberFormat="1">
      <alignment horizontal="center" vertical="center"/>
    </xf>
    <xf borderId="0" fillId="0" fontId="5" numFmtId="0" xfId="0" applyFont="1"/>
    <xf borderId="0" fillId="0" fontId="6" numFmtId="164" xfId="0" applyFont="1" applyNumberFormat="1"/>
    <xf borderId="4" fillId="0" fontId="7" numFmtId="0" xfId="0" applyAlignment="1" applyBorder="1" applyFont="1">
      <alignment horizontal="right"/>
    </xf>
    <xf borderId="4" fillId="0" fontId="7" numFmtId="164" xfId="0" applyBorder="1" applyFont="1" applyNumberFormat="1"/>
    <xf borderId="0" fillId="0" fontId="6" numFmtId="165" xfId="0" applyFont="1" applyNumberFormat="1"/>
    <xf borderId="0" fillId="0" fontId="6" numFmtId="166" xfId="0" applyFont="1" applyNumberFormat="1"/>
    <xf borderId="0" fillId="0" fontId="6" numFmtId="0" xfId="0" applyFont="1"/>
    <xf borderId="3" fillId="0" fontId="4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6" width="13.43"/>
    <col customWidth="1" min="7" max="26" width="8.71"/>
  </cols>
  <sheetData>
    <row r="1" ht="12.75" customHeight="1">
      <c r="A1" s="1" t="s">
        <v>0</v>
      </c>
      <c r="B1" s="2"/>
      <c r="C1" s="2"/>
      <c r="D1" s="2"/>
      <c r="E1" s="2"/>
      <c r="F1" s="2"/>
    </row>
    <row r="2" ht="12.75" customHeight="1">
      <c r="A2" s="3" t="s">
        <v>1</v>
      </c>
      <c r="B2" s="4"/>
      <c r="C2" s="4"/>
      <c r="D2" s="4"/>
      <c r="E2" s="4"/>
      <c r="F2" s="4"/>
    </row>
    <row r="3" ht="12.75" customHeight="1">
      <c r="A3" s="5"/>
      <c r="B3" s="6" t="s">
        <v>2</v>
      </c>
      <c r="C3" s="7" t="s">
        <v>3</v>
      </c>
      <c r="D3" s="7" t="s">
        <v>4</v>
      </c>
      <c r="E3" s="7" t="s">
        <v>5</v>
      </c>
      <c r="F3" s="6" t="s">
        <v>6</v>
      </c>
    </row>
    <row r="4" ht="15.0" customHeight="1">
      <c r="A4" s="8" t="s">
        <v>7</v>
      </c>
      <c r="B4" s="9">
        <v>1039.0</v>
      </c>
      <c r="C4" s="9">
        <v>1253.0</v>
      </c>
      <c r="D4" s="9">
        <v>1427.0</v>
      </c>
      <c r="E4" s="9">
        <v>1454.0</v>
      </c>
      <c r="F4" s="9">
        <f>SUM(Корпоративные_контракты)</f>
        <v>5173</v>
      </c>
    </row>
    <row r="5" ht="15.0" customHeight="1">
      <c r="A5" s="8" t="s">
        <v>8</v>
      </c>
      <c r="B5" s="9">
        <v>76.0</v>
      </c>
      <c r="C5" s="9">
        <v>79.0</v>
      </c>
      <c r="D5" s="9">
        <v>88.0</v>
      </c>
      <c r="E5" s="9">
        <v>89.0</v>
      </c>
      <c r="F5" s="9">
        <f>SUM(Прыжки_с_парашютом)</f>
        <v>332</v>
      </c>
    </row>
    <row r="6" ht="15.0" customHeight="1">
      <c r="A6" s="8" t="s">
        <v>9</v>
      </c>
      <c r="B6" s="9">
        <v>123.0</v>
      </c>
      <c r="C6" s="9">
        <v>130.0</v>
      </c>
      <c r="D6" s="9">
        <v>133.0</v>
      </c>
      <c r="E6" s="9">
        <v>138.0</v>
      </c>
      <c r="F6" s="9">
        <f>SUM(Чартерные_рейсы)</f>
        <v>524</v>
      </c>
    </row>
    <row r="7" ht="15.0" customHeight="1">
      <c r="A7" s="8" t="s">
        <v>10</v>
      </c>
      <c r="B7" s="9">
        <v>205.0</v>
      </c>
      <c r="C7" s="9">
        <v>208.0</v>
      </c>
      <c r="D7" s="9">
        <v>207.0</v>
      </c>
      <c r="E7" s="9">
        <v>199.0</v>
      </c>
      <c r="F7" s="9">
        <f>SUM(Летная_школа)</f>
        <v>819</v>
      </c>
    </row>
    <row r="8" ht="12.75" customHeight="1">
      <c r="A8" s="10" t="s">
        <v>11</v>
      </c>
      <c r="B8" s="11">
        <f t="shared" ref="B8:F8" si="1">SUM(B4:B7)</f>
        <v>1443</v>
      </c>
      <c r="C8" s="11">
        <f t="shared" si="1"/>
        <v>1670</v>
      </c>
      <c r="D8" s="11">
        <f t="shared" si="1"/>
        <v>1855</v>
      </c>
      <c r="E8" s="11">
        <f t="shared" si="1"/>
        <v>1880</v>
      </c>
      <c r="F8" s="11">
        <f t="shared" si="1"/>
        <v>6848</v>
      </c>
    </row>
    <row r="9" ht="12.75" customHeight="1">
      <c r="B9" s="12" t="s">
        <v>12</v>
      </c>
    </row>
    <row r="10" ht="12.75" customHeight="1">
      <c r="A10" s="3" t="s">
        <v>13</v>
      </c>
      <c r="B10" s="4"/>
      <c r="C10" s="4"/>
      <c r="D10" s="4"/>
      <c r="E10" s="4"/>
      <c r="F10" s="4"/>
    </row>
    <row r="11" ht="12.75" customHeight="1">
      <c r="A11" s="5"/>
      <c r="B11" s="7" t="s">
        <v>14</v>
      </c>
      <c r="C11" s="7" t="s">
        <v>15</v>
      </c>
      <c r="D11" s="7" t="s">
        <v>16</v>
      </c>
      <c r="E11" s="6"/>
      <c r="F11" s="6" t="s">
        <v>17</v>
      </c>
    </row>
    <row r="12" ht="15.0" customHeight="1">
      <c r="A12" s="8" t="s">
        <v>18</v>
      </c>
      <c r="B12" s="13">
        <f t="shared" ref="B12:D12" si="2">(C4-B4)/C4</f>
        <v>0.1707901038</v>
      </c>
      <c r="C12" s="13">
        <f t="shared" si="2"/>
        <v>0.1219341275</v>
      </c>
      <c r="D12" s="13">
        <f t="shared" si="2"/>
        <v>0.01856946355</v>
      </c>
      <c r="E12" s="13"/>
      <c r="F12" s="13">
        <f t="shared" ref="F12:F15" si="4">(E4-B4)/E4</f>
        <v>0.2854195323</v>
      </c>
    </row>
    <row r="13" ht="15.0" customHeight="1">
      <c r="A13" s="8" t="s">
        <v>19</v>
      </c>
      <c r="B13" s="13">
        <f t="shared" ref="B13:D13" si="3">(C5-B5)/C5</f>
        <v>0.03797468354</v>
      </c>
      <c r="C13" s="13">
        <f t="shared" si="3"/>
        <v>0.1022727273</v>
      </c>
      <c r="D13" s="13">
        <f t="shared" si="3"/>
        <v>0.01123595506</v>
      </c>
      <c r="E13" s="13"/>
      <c r="F13" s="13">
        <f t="shared" si="4"/>
        <v>0.1460674157</v>
      </c>
    </row>
    <row r="14" ht="15.0" customHeight="1">
      <c r="A14" s="8" t="s">
        <v>20</v>
      </c>
      <c r="B14" s="13">
        <f t="shared" ref="B14:D14" si="5">(C6-B6)/C6</f>
        <v>0.05384615385</v>
      </c>
      <c r="C14" s="13">
        <f t="shared" si="5"/>
        <v>0.02255639098</v>
      </c>
      <c r="D14" s="13">
        <f t="shared" si="5"/>
        <v>0.03623188406</v>
      </c>
      <c r="E14" s="13"/>
      <c r="F14" s="13">
        <f t="shared" si="4"/>
        <v>0.1086956522</v>
      </c>
    </row>
    <row r="15" ht="15.0" customHeight="1">
      <c r="A15" s="8" t="s">
        <v>21</v>
      </c>
      <c r="B15" s="13">
        <f t="shared" ref="B15:D15" si="6">(C7-B7)/C7</f>
        <v>0.01442307692</v>
      </c>
      <c r="C15" s="13">
        <f t="shared" si="6"/>
        <v>-0.004830917874</v>
      </c>
      <c r="D15" s="13">
        <f t="shared" si="6"/>
        <v>-0.04020100503</v>
      </c>
      <c r="E15" s="13"/>
      <c r="F15" s="13">
        <f t="shared" si="4"/>
        <v>-0.03015075377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F1"/>
    <mergeCell ref="A2:F2"/>
    <mergeCell ref="A10:F10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6" width="13.43"/>
    <col customWidth="1" min="7" max="26" width="8.71"/>
  </cols>
  <sheetData>
    <row r="1" ht="12.75" customHeight="1">
      <c r="A1" s="1" t="s">
        <v>0</v>
      </c>
      <c r="B1" s="2"/>
      <c r="C1" s="2"/>
      <c r="D1" s="2"/>
      <c r="E1" s="2"/>
      <c r="F1" s="2"/>
    </row>
    <row r="2" ht="12.75" customHeight="1">
      <c r="A2" s="3" t="s">
        <v>22</v>
      </c>
      <c r="B2" s="4"/>
      <c r="C2" s="4"/>
      <c r="D2" s="4"/>
      <c r="E2" s="4"/>
      <c r="F2" s="4"/>
    </row>
    <row r="3" ht="12.75" customHeight="1">
      <c r="A3" s="5"/>
      <c r="B3" s="6" t="s">
        <v>23</v>
      </c>
      <c r="C3" s="7" t="s">
        <v>24</v>
      </c>
      <c r="D3" s="7" t="s">
        <v>25</v>
      </c>
      <c r="E3" s="7" t="s">
        <v>26</v>
      </c>
      <c r="F3" s="6" t="s">
        <v>27</v>
      </c>
    </row>
    <row r="4" ht="15.0" customHeight="1">
      <c r="A4" s="8" t="s">
        <v>28</v>
      </c>
      <c r="B4" s="9">
        <v>723.0</v>
      </c>
      <c r="C4" s="9">
        <v>857.0</v>
      </c>
      <c r="D4" s="9">
        <v>1059.0</v>
      </c>
      <c r="E4" s="9">
        <v>1061.0</v>
      </c>
      <c r="F4" s="9">
        <f>SUM(Корпоративные_контракты_расх)</f>
        <v>3700</v>
      </c>
    </row>
    <row r="5" ht="15.0" customHeight="1">
      <c r="A5" s="8" t="s">
        <v>29</v>
      </c>
      <c r="B5" s="9">
        <v>59.0</v>
      </c>
      <c r="C5" s="9">
        <v>62.0</v>
      </c>
      <c r="D5" s="9">
        <v>72.0</v>
      </c>
      <c r="E5" s="9">
        <v>74.0</v>
      </c>
      <c r="F5" s="9">
        <f>SUM(Прыжки_с_парашютом_расх)</f>
        <v>267</v>
      </c>
    </row>
    <row r="6" ht="15.0" customHeight="1">
      <c r="A6" s="8" t="s">
        <v>30</v>
      </c>
      <c r="B6" s="9">
        <v>101.0</v>
      </c>
      <c r="C6" s="9">
        <v>106.0</v>
      </c>
      <c r="D6" s="9">
        <v>109.0</v>
      </c>
      <c r="E6" s="9">
        <v>111.0</v>
      </c>
      <c r="F6" s="9">
        <f>SUM(Чартерные_рейсы_расх)</f>
        <v>427</v>
      </c>
    </row>
    <row r="7" ht="15.0" customHeight="1">
      <c r="A7" s="8" t="s">
        <v>31</v>
      </c>
      <c r="B7" s="9">
        <v>142.0</v>
      </c>
      <c r="C7" s="9">
        <v>147.0</v>
      </c>
      <c r="D7" s="9">
        <v>148.0</v>
      </c>
      <c r="E7" s="9">
        <v>144.0</v>
      </c>
      <c r="F7" s="9">
        <f>SUM(Летная_школа_расх)</f>
        <v>581</v>
      </c>
    </row>
    <row r="8" ht="12.75" customHeight="1">
      <c r="A8" s="10" t="s">
        <v>32</v>
      </c>
      <c r="B8" s="11">
        <f t="shared" ref="B8:F8" si="1">SUM(B4:B7)</f>
        <v>1025</v>
      </c>
      <c r="C8" s="11">
        <f t="shared" si="1"/>
        <v>1172</v>
      </c>
      <c r="D8" s="11">
        <f t="shared" si="1"/>
        <v>1388</v>
      </c>
      <c r="E8" s="11">
        <f t="shared" si="1"/>
        <v>1390</v>
      </c>
      <c r="F8" s="11">
        <f t="shared" si="1"/>
        <v>4975</v>
      </c>
    </row>
    <row r="9" ht="12.75" customHeight="1">
      <c r="B9" s="12"/>
    </row>
    <row r="10" ht="12.75" customHeight="1">
      <c r="A10" s="3" t="s">
        <v>33</v>
      </c>
      <c r="B10" s="4"/>
      <c r="C10" s="4"/>
      <c r="D10" s="4"/>
      <c r="E10" s="4"/>
      <c r="F10" s="4"/>
    </row>
    <row r="11" ht="12.75" customHeight="1">
      <c r="A11" s="5"/>
      <c r="B11" s="7" t="s">
        <v>34</v>
      </c>
      <c r="C11" s="7" t="s">
        <v>35</v>
      </c>
      <c r="D11" s="7" t="s">
        <v>36</v>
      </c>
      <c r="E11" s="6"/>
      <c r="F11" s="6" t="s">
        <v>37</v>
      </c>
    </row>
    <row r="12" ht="15.0" customHeight="1">
      <c r="A12" s="8" t="s">
        <v>38</v>
      </c>
      <c r="B12" s="13">
        <f t="shared" ref="B12:D12" si="2">(C4-B4)/C4</f>
        <v>0.1563593932</v>
      </c>
      <c r="C12" s="13">
        <f t="shared" si="2"/>
        <v>0.1907459868</v>
      </c>
      <c r="D12" s="13">
        <f t="shared" si="2"/>
        <v>0.001885014138</v>
      </c>
      <c r="E12" s="13"/>
      <c r="F12" s="13">
        <f t="shared" ref="F12:F15" si="4">(E4-B4)/E4</f>
        <v>0.3185673893</v>
      </c>
    </row>
    <row r="13" ht="15.0" customHeight="1">
      <c r="A13" s="8" t="s">
        <v>39</v>
      </c>
      <c r="B13" s="13">
        <f t="shared" ref="B13:D13" si="3">(C5-B5)/C5</f>
        <v>0.04838709677</v>
      </c>
      <c r="C13" s="13">
        <f t="shared" si="3"/>
        <v>0.1388888889</v>
      </c>
      <c r="D13" s="13">
        <f t="shared" si="3"/>
        <v>0.02702702703</v>
      </c>
      <c r="E13" s="13"/>
      <c r="F13" s="13">
        <f t="shared" si="4"/>
        <v>0.2027027027</v>
      </c>
    </row>
    <row r="14" ht="15.0" customHeight="1">
      <c r="A14" s="8" t="s">
        <v>40</v>
      </c>
      <c r="B14" s="13">
        <f t="shared" ref="B14:D14" si="5">(C6-B6)/C6</f>
        <v>0.04716981132</v>
      </c>
      <c r="C14" s="13">
        <f t="shared" si="5"/>
        <v>0.02752293578</v>
      </c>
      <c r="D14" s="13">
        <f t="shared" si="5"/>
        <v>0.01801801802</v>
      </c>
      <c r="E14" s="13"/>
      <c r="F14" s="13">
        <f t="shared" si="4"/>
        <v>0.09009009009</v>
      </c>
    </row>
    <row r="15" ht="15.0" customHeight="1">
      <c r="A15" s="8" t="s">
        <v>41</v>
      </c>
      <c r="B15" s="13">
        <f t="shared" ref="B15:D15" si="6">(C7-B7)/C7</f>
        <v>0.03401360544</v>
      </c>
      <c r="C15" s="13">
        <f t="shared" si="6"/>
        <v>0.006756756757</v>
      </c>
      <c r="D15" s="13">
        <f t="shared" si="6"/>
        <v>-0.02777777778</v>
      </c>
      <c r="E15" s="13"/>
      <c r="F15" s="13">
        <f t="shared" si="4"/>
        <v>0.01388888889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F1"/>
    <mergeCell ref="A2:F2"/>
    <mergeCell ref="A10:F10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14.57"/>
    <col customWidth="1" min="3" max="3" width="15.86"/>
    <col customWidth="1" min="4" max="4" width="15.43"/>
    <col customWidth="1" min="5" max="5" width="16.0"/>
    <col customWidth="1" min="6" max="26" width="8.71"/>
  </cols>
  <sheetData>
    <row r="1" ht="12.75" customHeight="1">
      <c r="A1" s="1" t="s">
        <v>0</v>
      </c>
      <c r="B1" s="2"/>
      <c r="C1" s="2"/>
      <c r="D1" s="2"/>
      <c r="E1" s="2"/>
    </row>
    <row r="2" ht="12.75" customHeight="1">
      <c r="A2" s="3" t="s">
        <v>42</v>
      </c>
      <c r="B2" s="4"/>
      <c r="C2" s="4"/>
      <c r="D2" s="4"/>
      <c r="E2" s="4"/>
    </row>
    <row r="3" ht="12.75" customHeight="1">
      <c r="B3" s="14" t="s">
        <v>43</v>
      </c>
    </row>
    <row r="4" ht="12.75" customHeight="1">
      <c r="A4" s="6"/>
      <c r="B4" s="15" t="s">
        <v>44</v>
      </c>
      <c r="C4" s="15" t="s">
        <v>45</v>
      </c>
      <c r="D4" s="15" t="s">
        <v>46</v>
      </c>
      <c r="E4" s="15" t="s">
        <v>47</v>
      </c>
    </row>
    <row r="5" ht="15.0" customHeight="1">
      <c r="A5" s="8" t="s">
        <v>48</v>
      </c>
      <c r="B5" s="9">
        <f>AVERAGE(Корпоративные_контракты)</f>
        <v>1293.25</v>
      </c>
      <c r="C5" s="9">
        <f>AVERAGE(Корпоративные_контракты_расх)</f>
        <v>925</v>
      </c>
      <c r="D5" s="9">
        <f>MAX(Корпоративные_контракты)</f>
        <v>1454</v>
      </c>
      <c r="E5" s="9">
        <f>MAX(Корпоративные_контракты_расх)</f>
        <v>1061</v>
      </c>
      <c r="F5" s="13"/>
    </row>
    <row r="6" ht="15.0" customHeight="1">
      <c r="A6" s="8" t="s">
        <v>49</v>
      </c>
      <c r="B6" s="9">
        <f>AVERAGE(Прыжки_с_парашютом)</f>
        <v>83</v>
      </c>
      <c r="C6" s="9">
        <f>AVERAGE(Прыжки_с_парашютом_расх)</f>
        <v>66.75</v>
      </c>
      <c r="D6" s="9">
        <f>MAX(Прыжки_с_парашютом)</f>
        <v>89</v>
      </c>
      <c r="E6" s="9">
        <f>MAX(Прыжки_с_парашютом_расх)</f>
        <v>74</v>
      </c>
      <c r="F6" s="13"/>
    </row>
    <row r="7" ht="15.0" customHeight="1">
      <c r="A7" s="8" t="s">
        <v>50</v>
      </c>
      <c r="B7" s="9">
        <f>AVERAGE(Чартерные_рейсы)</f>
        <v>131</v>
      </c>
      <c r="C7" s="9">
        <f>AVERAGE(Чартерные_рейсы_расх)</f>
        <v>106.75</v>
      </c>
      <c r="D7" s="9">
        <f>MAX(Чартерные_рейсы)</f>
        <v>138</v>
      </c>
      <c r="E7" s="9">
        <f>MAX(Чартерные_рейсы_расх)</f>
        <v>111</v>
      </c>
      <c r="F7" s="13"/>
    </row>
    <row r="8" ht="15.0" customHeight="1">
      <c r="A8" s="8" t="s">
        <v>51</v>
      </c>
      <c r="B8" s="9">
        <f>AVERAGE(Летная_школа)</f>
        <v>204.75</v>
      </c>
      <c r="C8" s="9">
        <f>AVERAGE(Летная_школа_расх)</f>
        <v>145.25</v>
      </c>
      <c r="D8" s="9">
        <f>MAX(Летная_школа)</f>
        <v>208</v>
      </c>
      <c r="E8" s="9">
        <f>MAX(Летная_школа_расх)</f>
        <v>148</v>
      </c>
      <c r="F8" s="13"/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E1"/>
    <mergeCell ref="A2:E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2016-01-19T10:42:14Z</dcterms:created>
</cp:coreProperties>
</file>